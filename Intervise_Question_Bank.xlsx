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estions — Ranked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Quick Reference" sheetId="3" state="visible" r:id="rId3"/>
    <sheet xmlns:r="http://schemas.openxmlformats.org/officeDocument/2006/relationships" name="Stat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74151"/>
      <sz val="9"/>
    </font>
    <font>
      <name val="Arial"/>
      <b val="1"/>
      <color rgb="00FFFFFF"/>
      <sz val="10"/>
    </font>
    <font>
      <name val="Arial"/>
      <color rgb="00111827"/>
      <sz val="9"/>
    </font>
    <font>
      <name val="Arial"/>
      <b val="1"/>
      <color rgb="005B21B6"/>
      <sz val="9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color rgb="00111827"/>
      <sz val="10"/>
    </font>
    <font>
      <name val="Arial"/>
      <sz val="10"/>
    </font>
    <font>
      <name val="Arial"/>
      <b val="1"/>
      <color rgb="005B21B6"/>
      <sz val="10"/>
    </font>
    <font>
      <name val="Arial"/>
      <b val="1"/>
      <sz val="10"/>
    </font>
  </fonts>
  <fills count="18">
    <fill>
      <patternFill/>
    </fill>
    <fill>
      <patternFill patternType="gray125"/>
    </fill>
    <fill>
      <patternFill patternType="solid">
        <fgColor rgb="003B0764"/>
      </patternFill>
    </fill>
    <fill>
      <patternFill patternType="solid">
        <fgColor rgb="00EDE9FE"/>
      </patternFill>
    </fill>
    <fill>
      <patternFill patternType="solid">
        <fgColor rgb="005B21B6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B45309"/>
      </patternFill>
    </fill>
    <fill>
      <patternFill patternType="solid">
        <fgColor rgb="00065F46"/>
      </patternFill>
    </fill>
    <fill>
      <patternFill patternType="solid">
        <fgColor rgb="000C4A6E"/>
      </patternFill>
    </fill>
    <fill>
      <patternFill patternType="solid">
        <fgColor rgb="007C2D12"/>
      </patternFill>
    </fill>
    <fill>
      <patternFill patternType="solid">
        <fgColor rgb="00831843"/>
      </patternFill>
    </fill>
    <fill>
      <patternFill patternType="solid">
        <fgColor rgb="00DC2626"/>
      </patternFill>
    </fill>
    <fill>
      <patternFill patternType="solid">
        <fgColor rgb="00166534"/>
      </patternFill>
    </fill>
    <fill>
      <patternFill patternType="solid">
        <fgColor rgb="004C1D95"/>
      </patternFill>
    </fill>
    <fill>
      <patternFill patternType="solid">
        <fgColor rgb="00D97706"/>
      </patternFill>
    </fill>
    <fill>
      <patternFill patternType="solid">
        <fgColor rgb="00059669"/>
      </patternFill>
    </fill>
    <fill>
      <patternFill patternType="solid">
        <fgColor rgb="006B7280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right style="thin">
        <color rgb="00E5E7EB"/>
      </right>
      <bottom style="thin">
        <color rgb="00E5E7EB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0" fontId="6" fillId="12" borderId="2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6" fillId="15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0" fontId="6" fillId="17" borderId="2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left" vertical="center"/>
    </xf>
    <xf numFmtId="0" fontId="7" fillId="13" borderId="0" applyAlignment="1" pivotButton="0" quotePrefix="0" xfId="0">
      <alignment horizontal="left" vertical="center"/>
    </xf>
    <xf numFmtId="0" fontId="7" fillId="14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3" fillId="14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2" customWidth="1" min="3" max="3"/>
    <col width="60" customWidth="1" min="4" max="4"/>
    <col width="14" customWidth="1" min="5" max="5"/>
    <col width="40" customWidth="1" min="6" max="6"/>
    <col width="12" customWidth="1" min="7" max="7"/>
    <col width="45" customWidth="1" min="8" max="8"/>
  </cols>
  <sheetData>
    <row r="1" ht="32" customHeight="1">
      <c r="A1" s="1" t="inlineStr">
        <is>
          <t>INTERVISE — Interview Question Bank  |  75 Questions Ranked by Frequency</t>
        </is>
      </c>
    </row>
    <row r="2" ht="18" customHeight="1">
      <c r="A2" s="2" t="inlineStr">
        <is>
          <t>Based on 20,918+ real interviews (InterviewPal 2025) · Sorted: Universal → Very High → High → Medium → Low</t>
        </is>
      </c>
    </row>
    <row r="3" ht="20" customHeight="1">
      <c r="A3" s="3" t="inlineStr">
        <is>
          <t>Rank</t>
        </is>
      </c>
      <c r="B3" s="3" t="inlineStr">
        <is>
          <t>Cat #</t>
        </is>
      </c>
      <c r="C3" s="3" t="inlineStr">
        <is>
          <t>Category</t>
        </is>
      </c>
      <c r="D3" s="3" t="inlineStr">
        <is>
          <t>Question</t>
        </is>
      </c>
      <c r="E3" s="3" t="inlineStr">
        <is>
          <t>Frequency</t>
        </is>
      </c>
      <c r="F3" s="3" t="inlineStr">
        <is>
          <t>Answer Format</t>
        </is>
      </c>
      <c r="G3" s="3" t="inlineStr">
        <is>
          <t>Time Limit (sec)</t>
        </is>
      </c>
      <c r="H3" s="3" t="inlineStr">
        <is>
          <t>Notes / Source</t>
        </is>
      </c>
    </row>
    <row r="4" ht="18" customHeight="1">
      <c r="A4" s="4" t="inlineStr">
        <is>
          <t xml:space="preserve">  CATEGORY 1 — IDENTITY &amp; BACKGROUND</t>
        </is>
      </c>
    </row>
    <row r="5" ht="42" customHeight="1">
      <c r="A5" s="5" t="n">
        <v>1</v>
      </c>
      <c r="B5" s="6" t="n">
        <v>1</v>
      </c>
      <c r="C5" s="7" t="inlineStr">
        <is>
          <t>Identity &amp; Background</t>
        </is>
      </c>
      <c r="D5" s="7" t="inlineStr">
        <is>
          <t>Tell me about yourself</t>
        </is>
      </c>
      <c r="E5" s="8" t="inlineStr">
        <is>
          <t>Universal</t>
        </is>
      </c>
      <c r="F5" s="7" t="inlineStr">
        <is>
          <t>Present → Past → Future. 60–90 seconds. No CV walkthrough.</t>
        </is>
      </c>
      <c r="G5" s="7" t="n">
        <v>90</v>
      </c>
      <c r="H5" s="7" t="inlineStr">
        <is>
          <t>Asked in 93%+ of all interviews. Always the opener.</t>
        </is>
      </c>
    </row>
    <row r="6" ht="42" customHeight="1">
      <c r="A6" s="9" t="n">
        <v>2</v>
      </c>
      <c r="B6" s="10" t="n">
        <v>1</v>
      </c>
      <c r="C6" s="11" t="inlineStr">
        <is>
          <t>Identity &amp; Background</t>
        </is>
      </c>
      <c r="D6" s="11" t="inlineStr">
        <is>
          <t>Walk me through your resume / background</t>
        </is>
      </c>
      <c r="E6" s="8" t="inlineStr">
        <is>
          <t>Universal</t>
        </is>
      </c>
      <c r="F6" s="11" t="inlineStr">
        <is>
          <t>Present → Past → Future. Narrative arc, not chronology.</t>
        </is>
      </c>
      <c r="G6" s="11" t="n">
        <v>90</v>
      </c>
      <c r="H6" s="11" t="inlineStr">
        <is>
          <t>Second most common opener. Often used interchangeably with Q1.</t>
        </is>
      </c>
    </row>
    <row r="7" ht="18" customHeight="1">
      <c r="A7" s="12" t="inlineStr">
        <is>
          <t xml:space="preserve">  CATEGORY 2 — BEHAVIOURAL</t>
        </is>
      </c>
    </row>
    <row r="8" ht="42" customHeight="1">
      <c r="A8" s="9" t="n">
        <v>6</v>
      </c>
      <c r="B8" s="10" t="n">
        <v>2</v>
      </c>
      <c r="C8" s="11" t="inlineStr">
        <is>
          <t>Behavioural</t>
        </is>
      </c>
      <c r="D8" s="11" t="inlineStr">
        <is>
          <t>Tell me about a time you showed leadership</t>
        </is>
      </c>
      <c r="E8" s="8" t="inlineStr">
        <is>
          <t>Universal</t>
        </is>
      </c>
      <c r="F8" s="11" t="inlineStr">
        <is>
          <t>STAR — Action section must show personal initiative, not team.</t>
        </is>
      </c>
      <c r="G8" s="11" t="n">
        <v>120</v>
      </c>
      <c r="H8" s="11" t="inlineStr">
        <is>
          <t>Top behavioural question across all industries and roles.</t>
        </is>
      </c>
    </row>
    <row r="9" ht="42" customHeight="1">
      <c r="A9" s="5" t="n">
        <v>7</v>
      </c>
      <c r="B9" s="6" t="n">
        <v>2</v>
      </c>
      <c r="C9" s="7" t="inlineStr">
        <is>
          <t>Behavioural</t>
        </is>
      </c>
      <c r="D9" s="7" t="inlineStr">
        <is>
          <t>Describe a time you dealt with a difficult situation</t>
        </is>
      </c>
      <c r="E9" s="8" t="inlineStr">
        <is>
          <t>Universal</t>
        </is>
      </c>
      <c r="F9" s="7" t="inlineStr">
        <is>
          <t>STAR — emphasise your personal action, not the situation itself.</t>
        </is>
      </c>
      <c r="G9" s="7" t="n">
        <v>120</v>
      </c>
      <c r="H9" s="7" t="inlineStr">
        <is>
          <t>Appears in virtually every behavioural interview.</t>
        </is>
      </c>
    </row>
    <row r="10" ht="18" customHeight="1">
      <c r="A10" s="13" t="inlineStr">
        <is>
          <t xml:space="preserve">  CATEGORY 3 — STRENGTHS &amp; WEAKNESSES</t>
        </is>
      </c>
    </row>
    <row r="11" ht="42" customHeight="1">
      <c r="A11" s="5" t="n">
        <v>21</v>
      </c>
      <c r="B11" s="6" t="n">
        <v>3</v>
      </c>
      <c r="C11" s="7" t="inlineStr">
        <is>
          <t>Strengths &amp; Weaknesses</t>
        </is>
      </c>
      <c r="D11" s="7" t="inlineStr">
        <is>
          <t>What is your greatest strength?</t>
        </is>
      </c>
      <c r="E11" s="8" t="inlineStr">
        <is>
          <t>Universal</t>
        </is>
      </c>
      <c r="F11" s="7" t="inlineStr">
        <is>
          <t>Name it → Prove it (one example) → Connect it to this role.</t>
        </is>
      </c>
      <c r="G11" s="7" t="n">
        <v>60</v>
      </c>
      <c r="H11" s="7" t="inlineStr">
        <is>
          <t>Asked in ~90% of interviews. Most candidates give generic answers.</t>
        </is>
      </c>
    </row>
    <row r="12" ht="42" customHeight="1">
      <c r="A12" s="9" t="n">
        <v>22</v>
      </c>
      <c r="B12" s="10" t="n">
        <v>3</v>
      </c>
      <c r="C12" s="11" t="inlineStr">
        <is>
          <t>Strengths &amp; Weaknesses</t>
        </is>
      </c>
      <c r="D12" s="11" t="inlineStr">
        <is>
          <t>What is your greatest weakness?</t>
        </is>
      </c>
      <c r="E12" s="8" t="inlineStr">
        <is>
          <t>Universal</t>
        </is>
      </c>
      <c r="F12" s="11" t="inlineStr">
        <is>
          <t>Name real weakness → Show awareness → Show action → Show progress.</t>
        </is>
      </c>
      <c r="G12" s="11" t="n">
        <v>60</v>
      </c>
      <c r="H12" s="11" t="inlineStr">
        <is>
          <t>Most mishandled question. 'I'm a perfectionist' = instant red flag.</t>
        </is>
      </c>
    </row>
    <row r="13" ht="18" customHeight="1">
      <c r="A13" s="14" t="inlineStr">
        <is>
          <t xml:space="preserve">  CATEGORY 4 — MOTIVATION &amp; FIT</t>
        </is>
      </c>
    </row>
    <row r="14" ht="42" customHeight="1">
      <c r="A14" s="9" t="n">
        <v>28</v>
      </c>
      <c r="B14" s="10" t="n">
        <v>4</v>
      </c>
      <c r="C14" s="11" t="inlineStr">
        <is>
          <t>Motivation &amp; Fit</t>
        </is>
      </c>
      <c r="D14" s="11" t="inlineStr">
        <is>
          <t>Why do you want to work here?</t>
        </is>
      </c>
      <c r="E14" s="8" t="inlineStr">
        <is>
          <t>Universal</t>
        </is>
      </c>
      <c r="F14" s="11" t="inlineStr">
        <is>
          <t>Them (specific research) → You (matching skill) → Together (goal).</t>
        </is>
      </c>
      <c r="G14" s="11" t="n">
        <v>60</v>
      </c>
      <c r="H14" s="11" t="inlineStr">
        <is>
          <t>Zero tolerance for generic answers. Research is mandatory.</t>
        </is>
      </c>
    </row>
    <row r="15" ht="42" customHeight="1">
      <c r="A15" s="5" t="n">
        <v>29</v>
      </c>
      <c r="B15" s="6" t="n">
        <v>4</v>
      </c>
      <c r="C15" s="7" t="inlineStr">
        <is>
          <t>Motivation &amp; Fit</t>
        </is>
      </c>
      <c r="D15" s="7" t="inlineStr">
        <is>
          <t>Why are you interested in this role?</t>
        </is>
      </c>
      <c r="E15" s="8" t="inlineStr">
        <is>
          <t>Universal</t>
        </is>
      </c>
      <c r="F15" s="7" t="inlineStr">
        <is>
          <t>Them → You → Together. Tie role to your development goals.</t>
        </is>
      </c>
      <c r="G15" s="7" t="n">
        <v>60</v>
      </c>
      <c r="H15" s="7" t="inlineStr">
        <is>
          <t>Distinct from 'why this company' — focus on the JD specifically.</t>
        </is>
      </c>
    </row>
    <row r="16" ht="18" customHeight="1">
      <c r="A16" s="15" t="inlineStr">
        <is>
          <t xml:space="preserve">  CATEGORY 5 — FUTURE &amp; AMBITION</t>
        </is>
      </c>
    </row>
    <row r="17" ht="42" customHeight="1">
      <c r="A17" s="5" t="n">
        <v>37</v>
      </c>
      <c r="B17" s="6" t="n">
        <v>5</v>
      </c>
      <c r="C17" s="7" t="inlineStr">
        <is>
          <t>Future &amp; Ambition</t>
        </is>
      </c>
      <c r="D17" s="7" t="inlineStr">
        <is>
          <t>Where do you see yourself in 5 years?</t>
        </is>
      </c>
      <c r="E17" s="8" t="inlineStr">
        <is>
          <t>Universal</t>
        </is>
      </c>
      <c r="F17" s="7" t="inlineStr">
        <is>
          <t>Near-term (this role) → Long-term (direction) → Bridge to this job.</t>
        </is>
      </c>
      <c r="G17" s="7" t="n">
        <v>60</v>
      </c>
      <c r="H17" s="7" t="inlineStr">
        <is>
          <t>Loyalty and ambition test. Don't say CEO. Don't say 'I don't know'.</t>
        </is>
      </c>
    </row>
    <row r="18" ht="18" customHeight="1">
      <c r="A18" s="16" t="inlineStr">
        <is>
          <t xml:space="preserve">  CATEGORY 8 — CLOSING QUESTIONS</t>
        </is>
      </c>
    </row>
    <row r="19" ht="42" customHeight="1">
      <c r="A19" s="5" t="n">
        <v>65</v>
      </c>
      <c r="B19" s="6" t="n">
        <v>8</v>
      </c>
      <c r="C19" s="7" t="inlineStr">
        <is>
          <t>Closing Questions</t>
        </is>
      </c>
      <c r="D19" s="7" t="inlineStr">
        <is>
          <t>Do you have any questions for us?</t>
        </is>
      </c>
      <c r="E19" s="8" t="inlineStr">
        <is>
          <t>Universal</t>
        </is>
      </c>
      <c r="F19" s="7" t="inlineStr">
        <is>
          <t>Always have 3: Role question, Team question, Growth question.</t>
        </is>
      </c>
      <c r="G19" s="7" t="n">
        <v>60</v>
      </c>
      <c r="H19" s="7" t="inlineStr">
        <is>
          <t>38% of candidates say 'No' — instant red flag.</t>
        </is>
      </c>
    </row>
    <row r="20" ht="42" customHeight="1">
      <c r="A20" s="9" t="n">
        <v>66</v>
      </c>
      <c r="B20" s="10" t="n">
        <v>8</v>
      </c>
      <c r="C20" s="11" t="inlineStr">
        <is>
          <t>Closing Questions</t>
        </is>
      </c>
      <c r="D20" s="11" t="inlineStr">
        <is>
          <t>What does success look like in this role in 90 days?</t>
        </is>
      </c>
      <c r="E20" s="8" t="inlineStr">
        <is>
          <t>Universal</t>
        </is>
      </c>
      <c r="F20" s="11" t="inlineStr">
        <is>
          <t>Ask this to show you're already thinking about delivering value.</t>
        </is>
      </c>
      <c r="G20" s="11" t="n">
        <v>60</v>
      </c>
      <c r="H20" s="11" t="inlineStr">
        <is>
          <t>Best closing question. Shows orientation and ambition.</t>
        </is>
      </c>
    </row>
    <row r="21" ht="18" customHeight="1">
      <c r="A21" s="4" t="inlineStr">
        <is>
          <t xml:space="preserve">  CATEGORY 1 — IDENTITY &amp; BACKGROUND</t>
        </is>
      </c>
    </row>
    <row r="22" ht="42" customHeight="1">
      <c r="A22" s="9" t="n">
        <v>3</v>
      </c>
      <c r="B22" s="10" t="n">
        <v>1</v>
      </c>
      <c r="C22" s="11" t="inlineStr">
        <is>
          <t>Identity &amp; Background</t>
        </is>
      </c>
      <c r="D22" s="11" t="inlineStr">
        <is>
          <t>How would you describe yourself in three words?</t>
        </is>
      </c>
      <c r="E22" s="17" t="inlineStr">
        <is>
          <t>Very High</t>
        </is>
      </c>
      <c r="F22" s="11" t="inlineStr">
        <is>
          <t>Name 3 words → one specific example for each → tie to role.</t>
        </is>
      </c>
      <c r="G22" s="11" t="n">
        <v>60</v>
      </c>
      <c r="H22" s="11" t="inlineStr">
        <is>
          <t>Common screening question. Tests self-awareness instantly.</t>
        </is>
      </c>
    </row>
    <row r="23" ht="42" customHeight="1">
      <c r="A23" s="5" t="n">
        <v>4</v>
      </c>
      <c r="B23" s="6" t="n">
        <v>1</v>
      </c>
      <c r="C23" s="7" t="inlineStr">
        <is>
          <t>Identity &amp; Background</t>
        </is>
      </c>
      <c r="D23" s="7" t="inlineStr">
        <is>
          <t>What makes you unique compared to other candidates?</t>
        </is>
      </c>
      <c r="E23" s="17" t="inlineStr">
        <is>
          <t>Very High</t>
        </is>
      </c>
      <c r="F23" s="7" t="inlineStr">
        <is>
          <t>1 specific differentiator → proof → relevance to role.</t>
        </is>
      </c>
      <c r="G23" s="7" t="n">
        <v>60</v>
      </c>
      <c r="H23" s="7" t="inlineStr">
        <is>
          <t>Tests confidence and self-positioning.</t>
        </is>
      </c>
    </row>
    <row r="24" ht="18" customHeight="1">
      <c r="A24" s="12" t="inlineStr">
        <is>
          <t xml:space="preserve">  CATEGORY 2 — BEHAVIOURAL</t>
        </is>
      </c>
    </row>
    <row r="25" ht="42" customHeight="1">
      <c r="A25" s="5" t="n">
        <v>8</v>
      </c>
      <c r="B25" s="6" t="n">
        <v>2</v>
      </c>
      <c r="C25" s="7" t="inlineStr">
        <is>
          <t>Behavioural</t>
        </is>
      </c>
      <c r="D25" s="7" t="inlineStr">
        <is>
          <t>Tell me about a time you failed</t>
        </is>
      </c>
      <c r="E25" s="17" t="inlineStr">
        <is>
          <t>Very High</t>
        </is>
      </c>
      <c r="F25" s="7" t="inlineStr">
        <is>
          <t>STAR — Result must be the LEARNING. Be honest, not defensive.</t>
        </is>
      </c>
      <c r="G25" s="7" t="n">
        <v>90</v>
      </c>
      <c r="H25" s="7" t="inlineStr">
        <is>
          <t>Tests self-awareness and growth mindset.</t>
        </is>
      </c>
    </row>
    <row r="26" ht="42" customHeight="1">
      <c r="A26" s="9" t="n">
        <v>9</v>
      </c>
      <c r="B26" s="10" t="n">
        <v>2</v>
      </c>
      <c r="C26" s="11" t="inlineStr">
        <is>
          <t>Behavioural</t>
        </is>
      </c>
      <c r="D26" s="11" t="inlineStr">
        <is>
          <t>Tell me about a time you worked in a team</t>
        </is>
      </c>
      <c r="E26" s="17" t="inlineStr">
        <is>
          <t>Very High</t>
        </is>
      </c>
      <c r="F26" s="11" t="inlineStr">
        <is>
          <t>STAR — distinguish your role from the team role clearly.</t>
        </is>
      </c>
      <c r="G26" s="11" t="n">
        <v>90</v>
      </c>
      <c r="H26" s="11" t="inlineStr">
        <is>
          <t>Cross-industry. Tests collaboration and communication.</t>
        </is>
      </c>
    </row>
    <row r="27" ht="42" customHeight="1">
      <c r="A27" s="5" t="n">
        <v>10</v>
      </c>
      <c r="B27" s="6" t="n">
        <v>2</v>
      </c>
      <c r="C27" s="7" t="inlineStr">
        <is>
          <t>Behavioural</t>
        </is>
      </c>
      <c r="D27" s="7" t="inlineStr">
        <is>
          <t>Describe a conflict with a coworker and how you resolved it</t>
        </is>
      </c>
      <c r="E27" s="17" t="inlineStr">
        <is>
          <t>Very High</t>
        </is>
      </c>
      <c r="F27" s="7" t="inlineStr">
        <is>
          <t>STAR — show empathy AND resolution. No blame. Focus on outcome.</t>
        </is>
      </c>
      <c r="G27" s="7" t="n">
        <v>90</v>
      </c>
      <c r="H27" s="7" t="inlineStr">
        <is>
          <t>Directly tests emotional intelligence.</t>
        </is>
      </c>
    </row>
    <row r="28" ht="42" customHeight="1">
      <c r="A28" s="9" t="n">
        <v>11</v>
      </c>
      <c r="B28" s="10" t="n">
        <v>2</v>
      </c>
      <c r="C28" s="11" t="inlineStr">
        <is>
          <t>Behavioural</t>
        </is>
      </c>
      <c r="D28" s="11" t="inlineStr">
        <is>
          <t>Tell me about a time you met a tight deadline</t>
        </is>
      </c>
      <c r="E28" s="17" t="inlineStr">
        <is>
          <t>Very High</t>
        </is>
      </c>
      <c r="F28" s="11" t="inlineStr">
        <is>
          <t>STAR — show prioritisation and execution under pressure.</t>
        </is>
      </c>
      <c r="G28" s="11" t="n">
        <v>90</v>
      </c>
      <c r="H28" s="11" t="inlineStr">
        <is>
          <t>Very common in fast-paced roles.</t>
        </is>
      </c>
    </row>
    <row r="29" ht="18" customHeight="1">
      <c r="A29" s="13" t="inlineStr">
        <is>
          <t xml:space="preserve">  CATEGORY 3 — STRENGTHS &amp; WEAKNESSES</t>
        </is>
      </c>
    </row>
    <row r="30" ht="42" customHeight="1">
      <c r="A30" s="9" t="n">
        <v>23</v>
      </c>
      <c r="B30" s="10" t="n">
        <v>3</v>
      </c>
      <c r="C30" s="11" t="inlineStr">
        <is>
          <t>Strengths &amp; Weaknesses</t>
        </is>
      </c>
      <c r="D30" s="11" t="inlineStr">
        <is>
          <t>What are you working on improving right now?</t>
        </is>
      </c>
      <c r="E30" s="17" t="inlineStr">
        <is>
          <t>Very High</t>
        </is>
      </c>
      <c r="F30" s="11" t="inlineStr">
        <is>
          <t>Name weakness honestly → Specific action you're taking today.</t>
        </is>
      </c>
      <c r="G30" s="11" t="n">
        <v>60</v>
      </c>
      <c r="H30" s="11" t="inlineStr">
        <is>
          <t>Softer version of weakness question. Still needs honesty.</t>
        </is>
      </c>
    </row>
    <row r="31" ht="42" customHeight="1">
      <c r="A31" s="5" t="n">
        <v>24</v>
      </c>
      <c r="B31" s="6" t="n">
        <v>3</v>
      </c>
      <c r="C31" s="7" t="inlineStr">
        <is>
          <t>Strengths &amp; Weaknesses</t>
        </is>
      </c>
      <c r="D31" s="7" t="inlineStr">
        <is>
          <t>How would your manager describe you?</t>
        </is>
      </c>
      <c r="E31" s="17" t="inlineStr">
        <is>
          <t>Very High</t>
        </is>
      </c>
      <c r="F31" s="7" t="inlineStr">
        <is>
          <t>Name 2–3 traits → one evidence example each → add self-aware note.</t>
        </is>
      </c>
      <c r="G31" s="7" t="n">
        <v>60</v>
      </c>
      <c r="H31" s="7" t="inlineStr">
        <is>
          <t>Tests self-awareness from external perspective.</t>
        </is>
      </c>
    </row>
    <row r="32" ht="18" customHeight="1">
      <c r="A32" s="14" t="inlineStr">
        <is>
          <t xml:space="preserve">  CATEGORY 4 — MOTIVATION &amp; FIT</t>
        </is>
      </c>
    </row>
    <row r="33" ht="42" customHeight="1">
      <c r="A33" s="5" t="n">
        <v>30</v>
      </c>
      <c r="B33" s="6" t="n">
        <v>4</v>
      </c>
      <c r="C33" s="7" t="inlineStr">
        <is>
          <t>Motivation &amp; Fit</t>
        </is>
      </c>
      <c r="D33" s="7" t="inlineStr">
        <is>
          <t>Why should we hire you?</t>
        </is>
      </c>
      <c r="E33" s="17" t="inlineStr">
        <is>
          <t>Very High</t>
        </is>
      </c>
      <c r="F33" s="7" t="inlineStr">
        <is>
          <t>3 specific reasons with evidence. Direct, confident, no hedging.</t>
        </is>
      </c>
      <c r="G33" s="7" t="n">
        <v>60</v>
      </c>
      <c r="H33" s="7" t="inlineStr">
        <is>
          <t>Tests confidence and self-positioning. Don't be vague.</t>
        </is>
      </c>
    </row>
    <row r="34" ht="42" customHeight="1">
      <c r="A34" s="9" t="n">
        <v>31</v>
      </c>
      <c r="B34" s="10" t="n">
        <v>4</v>
      </c>
      <c r="C34" s="11" t="inlineStr">
        <is>
          <t>Motivation &amp; Fit</t>
        </is>
      </c>
      <c r="D34" s="11" t="inlineStr">
        <is>
          <t>Why are you leaving your current job?</t>
        </is>
      </c>
      <c r="E34" s="17" t="inlineStr">
        <is>
          <t>Very High</t>
        </is>
      </c>
      <c r="F34" s="11" t="inlineStr">
        <is>
          <t>Forward-looking and positive only. NEVER badmouth. Growth framing.</t>
        </is>
      </c>
      <c r="G34" s="11" t="n">
        <v>60</v>
      </c>
      <c r="H34" s="11" t="inlineStr">
        <is>
          <t>Trap question. Any negativity about previous employer = rejection.</t>
        </is>
      </c>
    </row>
    <row r="35" ht="42" customHeight="1">
      <c r="A35" s="5" t="n">
        <v>32</v>
      </c>
      <c r="B35" s="6" t="n">
        <v>4</v>
      </c>
      <c r="C35" s="7" t="inlineStr">
        <is>
          <t>Motivation &amp; Fit</t>
        </is>
      </c>
      <c r="D35" s="7" t="inlineStr">
        <is>
          <t>What do you know about our company?</t>
        </is>
      </c>
      <c r="E35" s="17" t="inlineStr">
        <is>
          <t>Very High</t>
        </is>
      </c>
      <c r="F35" s="7" t="inlineStr">
        <is>
          <t>3 specific facts (product, mission, recent news) + why they matter.</t>
        </is>
      </c>
      <c r="G35" s="7" t="n">
        <v>60</v>
      </c>
      <c r="H35" s="7" t="inlineStr">
        <is>
          <t>Research question. Blanks = instant disqualification.</t>
        </is>
      </c>
    </row>
    <row r="36" ht="18" customHeight="1">
      <c r="A36" s="15" t="inlineStr">
        <is>
          <t xml:space="preserve">  CATEGORY 5 — FUTURE &amp; AMBITION</t>
        </is>
      </c>
    </row>
    <row r="37" ht="42" customHeight="1">
      <c r="A37" s="5" t="n">
        <v>38</v>
      </c>
      <c r="B37" s="6" t="n">
        <v>5</v>
      </c>
      <c r="C37" s="7" t="inlineStr">
        <is>
          <t>Future &amp; Ambition</t>
        </is>
      </c>
      <c r="D37" s="7" t="inlineStr">
        <is>
          <t>What are your long-term career goals?</t>
        </is>
      </c>
      <c r="E37" s="17" t="inlineStr">
        <is>
          <t>Very High</t>
        </is>
      </c>
      <c r="F37" s="7" t="inlineStr">
        <is>
          <t>Near-term mastery → long-term direction → why this role bridges them.</t>
        </is>
      </c>
      <c r="G37" s="7" t="n">
        <v>60</v>
      </c>
      <c r="H37" s="7" t="inlineStr">
        <is>
          <t>Show ambition without implying you'll leave in 6 months.</t>
        </is>
      </c>
    </row>
    <row r="38" ht="18" customHeight="1">
      <c r="A38" s="18" t="inlineStr">
        <is>
          <t xml:space="preserve">  CATEGORY 6 — SITUATIONAL</t>
        </is>
      </c>
    </row>
    <row r="39" ht="42" customHeight="1">
      <c r="A39" s="5" t="n">
        <v>44</v>
      </c>
      <c r="B39" s="6" t="n">
        <v>6</v>
      </c>
      <c r="C39" s="7" t="inlineStr">
        <is>
          <t>Situational</t>
        </is>
      </c>
      <c r="D39" s="7" t="inlineStr">
        <is>
          <t>What would you do if you missed a deadline?</t>
        </is>
      </c>
      <c r="E39" s="17" t="inlineStr">
        <is>
          <t>Very High</t>
        </is>
      </c>
      <c r="F39" s="7" t="inlineStr">
        <is>
          <t>PACE — Prioritise (notify), Act (recover plan), Communicate, Evaluate.</t>
        </is>
      </c>
      <c r="G39" s="7" t="n">
        <v>90</v>
      </c>
      <c r="H39" s="7" t="inlineStr">
        <is>
          <t>Tests accountability and professional communication.</t>
        </is>
      </c>
    </row>
    <row r="40" ht="42" customHeight="1">
      <c r="A40" s="9" t="n">
        <v>45</v>
      </c>
      <c r="B40" s="10" t="n">
        <v>6</v>
      </c>
      <c r="C40" s="11" t="inlineStr">
        <is>
          <t>Situational</t>
        </is>
      </c>
      <c r="D40" s="11" t="inlineStr">
        <is>
          <t>How would you handle a difficult colleague?</t>
        </is>
      </c>
      <c r="E40" s="17" t="inlineStr">
        <is>
          <t>Very High</t>
        </is>
      </c>
      <c r="F40" s="11" t="inlineStr">
        <is>
          <t>PACE — empathy first, direct conversation, escalation as last resort.</t>
        </is>
      </c>
      <c r="G40" s="11" t="n">
        <v>90</v>
      </c>
      <c r="H40" s="11" t="inlineStr">
        <is>
          <t>Emotional intelligence test.</t>
        </is>
      </c>
    </row>
    <row r="41" ht="42" customHeight="1">
      <c r="A41" s="5" t="n">
        <v>46</v>
      </c>
      <c r="B41" s="6" t="n">
        <v>6</v>
      </c>
      <c r="C41" s="7" t="inlineStr">
        <is>
          <t>Situational</t>
        </is>
      </c>
      <c r="D41" s="7" t="inlineStr">
        <is>
          <t>What would you do if you disagreed with a decision?</t>
        </is>
      </c>
      <c r="E41" s="17" t="inlineStr">
        <is>
          <t>Very High</t>
        </is>
      </c>
      <c r="F41" s="7" t="inlineStr">
        <is>
          <t>PACE — raise concerns through right channel, commit once decided.</t>
        </is>
      </c>
      <c r="G41" s="7" t="n">
        <v>90</v>
      </c>
      <c r="H41" s="7" t="inlineStr">
        <is>
          <t>Tests professionalism and constructive dissent.</t>
        </is>
      </c>
    </row>
    <row r="42" ht="18" customHeight="1">
      <c r="A42" s="19" t="inlineStr">
        <is>
          <t xml:space="preserve">  CATEGORY 7 — CURVEBALL / PRESSURE</t>
        </is>
      </c>
    </row>
    <row r="43" ht="42" customHeight="1">
      <c r="A43" s="5" t="n">
        <v>54</v>
      </c>
      <c r="B43" s="6" t="n">
        <v>7</v>
      </c>
      <c r="C43" s="7" t="inlineStr">
        <is>
          <t>Curveball / Pressure</t>
        </is>
      </c>
      <c r="D43" s="7" t="inlineStr">
        <is>
          <t>What is your biggest failure?</t>
        </is>
      </c>
      <c r="E43" s="17" t="inlineStr">
        <is>
          <t>Very High</t>
        </is>
      </c>
      <c r="F43" s="7" t="inlineStr">
        <is>
          <t>Pause → honest failure → learning → what you'd do differently.</t>
        </is>
      </c>
      <c r="G43" s="7" t="n">
        <v>90</v>
      </c>
      <c r="H43" s="7" t="inlineStr">
        <is>
          <t>Do not deflect. Real failure + real growth = strong answer.</t>
        </is>
      </c>
    </row>
    <row r="44" ht="18" customHeight="1">
      <c r="A44" s="16" t="inlineStr">
        <is>
          <t xml:space="preserve">  CATEGORY 8 — CLOSING QUESTIONS</t>
        </is>
      </c>
    </row>
    <row r="45" ht="42" customHeight="1">
      <c r="A45" s="5" t="n">
        <v>67</v>
      </c>
      <c r="B45" s="6" t="n">
        <v>8</v>
      </c>
      <c r="C45" s="7" t="inlineStr">
        <is>
          <t>Closing Questions</t>
        </is>
      </c>
      <c r="D45" s="7" t="inlineStr">
        <is>
          <t>What is the biggest challenge the team is facing right now?</t>
        </is>
      </c>
      <c r="E45" s="17" t="inlineStr">
        <is>
          <t>Very High</t>
        </is>
      </c>
      <c r="F45" s="7" t="inlineStr">
        <is>
          <t>Shows you're thinking about their problems, not just your opportunity.</t>
        </is>
      </c>
      <c r="G45" s="7" t="n">
        <v>60</v>
      </c>
      <c r="H45" s="7" t="inlineStr">
        <is>
          <t>Signals strategic thinking and genuine interest.</t>
        </is>
      </c>
    </row>
    <row r="46" ht="42" customHeight="1">
      <c r="A46" s="9" t="n">
        <v>71</v>
      </c>
      <c r="B46" s="10" t="n">
        <v>8</v>
      </c>
      <c r="C46" s="11" t="inlineStr">
        <is>
          <t>Closing Questions</t>
        </is>
      </c>
      <c r="D46" s="11" t="inlineStr">
        <is>
          <t>What are the next steps in the process?</t>
        </is>
      </c>
      <c r="E46" s="17" t="inlineStr">
        <is>
          <t>Very High</t>
        </is>
      </c>
      <c r="F46" s="11" t="inlineStr">
        <is>
          <t>Always ask this. Shows professionalism and follow-through.</t>
        </is>
      </c>
      <c r="G46" s="11" t="n">
        <v>30</v>
      </c>
      <c r="H46" s="11" t="inlineStr">
        <is>
          <t>Mandatory closing question. Sets timeline expectations.</t>
        </is>
      </c>
    </row>
    <row r="47" ht="18" customHeight="1">
      <c r="A47" s="4" t="inlineStr">
        <is>
          <t xml:space="preserve">  CATEGORY 1 — IDENTITY &amp; BACKGROUND</t>
        </is>
      </c>
    </row>
    <row r="48" ht="42" customHeight="1">
      <c r="A48" s="9" t="n">
        <v>5</v>
      </c>
      <c r="B48" s="10" t="n">
        <v>1</v>
      </c>
      <c r="C48" s="11" t="inlineStr">
        <is>
          <t>Identity &amp; Background</t>
        </is>
      </c>
      <c r="D48" s="11" t="inlineStr">
        <is>
          <t>Tell me something that's not on your resume</t>
        </is>
      </c>
      <c r="E48" s="20" t="inlineStr">
        <is>
          <t>High</t>
        </is>
      </c>
      <c r="F48" s="11" t="inlineStr">
        <is>
          <t>Relevant personal project, skill, or insight. Keep professional.</t>
        </is>
      </c>
      <c r="G48" s="11" t="n">
        <v>60</v>
      </c>
      <c r="H48" s="11" t="inlineStr">
        <is>
          <t>Used to test personality fit and hidden depth.</t>
        </is>
      </c>
    </row>
    <row r="49" ht="18" customHeight="1">
      <c r="A49" s="12" t="inlineStr">
        <is>
          <t xml:space="preserve">  CATEGORY 2 — BEHAVIOURAL</t>
        </is>
      </c>
    </row>
    <row r="50" ht="42" customHeight="1">
      <c r="A50" s="9" t="n">
        <v>12</v>
      </c>
      <c r="B50" s="10" t="n">
        <v>2</v>
      </c>
      <c r="C50" s="11" t="inlineStr">
        <is>
          <t>Behavioural</t>
        </is>
      </c>
      <c r="D50" s="11" t="inlineStr">
        <is>
          <t>Give me an example of a time you showed initiative</t>
        </is>
      </c>
      <c r="E50" s="20" t="inlineStr">
        <is>
          <t>High</t>
        </is>
      </c>
      <c r="F50" s="11" t="inlineStr">
        <is>
          <t>STAR — Action must be self-directed, not assigned.</t>
        </is>
      </c>
      <c r="G50" s="11" t="n">
        <v>90</v>
      </c>
      <c r="H50" s="11" t="inlineStr">
        <is>
          <t>Tests proactiveness and ownership.</t>
        </is>
      </c>
    </row>
    <row r="51" ht="42" customHeight="1">
      <c r="A51" s="5" t="n">
        <v>13</v>
      </c>
      <c r="B51" s="6" t="n">
        <v>2</v>
      </c>
      <c r="C51" s="7" t="inlineStr">
        <is>
          <t>Behavioural</t>
        </is>
      </c>
      <c r="D51" s="7" t="inlineStr">
        <is>
          <t>Tell me about a time you had to adapt to a major change</t>
        </is>
      </c>
      <c r="E51" s="20" t="inlineStr">
        <is>
          <t>High</t>
        </is>
      </c>
      <c r="F51" s="7" t="inlineStr">
        <is>
          <t>STAR — show flexibility and positive framing of the change.</t>
        </is>
      </c>
      <c r="G51" s="7" t="n">
        <v>90</v>
      </c>
      <c r="H51" s="7" t="inlineStr">
        <is>
          <t>Common post-2020 given remote/hybrid shifts.</t>
        </is>
      </c>
    </row>
    <row r="52" ht="42" customHeight="1">
      <c r="A52" s="9" t="n">
        <v>14</v>
      </c>
      <c r="B52" s="10" t="n">
        <v>2</v>
      </c>
      <c r="C52" s="11" t="inlineStr">
        <is>
          <t>Behavioural</t>
        </is>
      </c>
      <c r="D52" s="11" t="inlineStr">
        <is>
          <t>Describe a time you disagreed with your manager</t>
        </is>
      </c>
      <c r="E52" s="20" t="inlineStr">
        <is>
          <t>High</t>
        </is>
      </c>
      <c r="F52" s="11" t="inlineStr">
        <is>
          <t>STAR — show respectful pushback AND ultimate alignment.</t>
        </is>
      </c>
      <c r="G52" s="11" t="n">
        <v>90</v>
      </c>
      <c r="H52" s="11" t="inlineStr">
        <is>
          <t>Tests professional maturity.</t>
        </is>
      </c>
    </row>
    <row r="53" ht="42" customHeight="1">
      <c r="A53" s="5" t="n">
        <v>15</v>
      </c>
      <c r="B53" s="6" t="n">
        <v>2</v>
      </c>
      <c r="C53" s="7" t="inlineStr">
        <is>
          <t>Behavioural</t>
        </is>
      </c>
      <c r="D53" s="7" t="inlineStr">
        <is>
          <t>Tell me about your biggest professional achievement</t>
        </is>
      </c>
      <c r="E53" s="20" t="inlineStr">
        <is>
          <t>High</t>
        </is>
      </c>
      <c r="F53" s="7" t="inlineStr">
        <is>
          <t>STAR — Result must be quantified. Use 'I', not 'we'.</t>
        </is>
      </c>
      <c r="G53" s="7" t="n">
        <v>90</v>
      </c>
      <c r="H53" s="7" t="inlineStr">
        <is>
          <t>Strong differentiator question. Most candidates under-prepare.</t>
        </is>
      </c>
    </row>
    <row r="54" ht="42" customHeight="1">
      <c r="A54" s="9" t="n">
        <v>16</v>
      </c>
      <c r="B54" s="10" t="n">
        <v>2</v>
      </c>
      <c r="C54" s="11" t="inlineStr">
        <is>
          <t>Behavioural</t>
        </is>
      </c>
      <c r="D54" s="11" t="inlineStr">
        <is>
          <t>Tell me about a time you made a mistake</t>
        </is>
      </c>
      <c r="E54" s="20" t="inlineStr">
        <is>
          <t>High</t>
        </is>
      </c>
      <c r="F54" s="11" t="inlineStr">
        <is>
          <t>STAR — Result is the action taken to fix it + learning.</t>
        </is>
      </c>
      <c r="G54" s="11" t="n">
        <v>90</v>
      </c>
      <c r="H54" s="11" t="inlineStr">
        <is>
          <t>Sister question to 'Tell me about a failure.'</t>
        </is>
      </c>
    </row>
    <row r="55" ht="42" customHeight="1">
      <c r="A55" s="5" t="n">
        <v>17</v>
      </c>
      <c r="B55" s="6" t="n">
        <v>2</v>
      </c>
      <c r="C55" s="7" t="inlineStr">
        <is>
          <t>Behavioural</t>
        </is>
      </c>
      <c r="D55" s="7" t="inlineStr">
        <is>
          <t>Describe a time you had to learn something quickly</t>
        </is>
      </c>
      <c r="E55" s="20" t="inlineStr">
        <is>
          <t>High</t>
        </is>
      </c>
      <c r="F55" s="7" t="inlineStr">
        <is>
          <t>STAR — Show learning process, not just outcome.</t>
        </is>
      </c>
      <c r="G55" s="7" t="n">
        <v>90</v>
      </c>
      <c r="H55" s="7" t="inlineStr">
        <is>
          <t>Common in dynamic or fast-growth companies.</t>
        </is>
      </c>
    </row>
    <row r="56" ht="18" customHeight="1">
      <c r="A56" s="13" t="inlineStr">
        <is>
          <t xml:space="preserve">  CATEGORY 3 — STRENGTHS &amp; WEAKNESSES</t>
        </is>
      </c>
    </row>
    <row r="57" ht="42" customHeight="1">
      <c r="A57" s="5" t="n">
        <v>25</v>
      </c>
      <c r="B57" s="6" t="n">
        <v>3</v>
      </c>
      <c r="C57" s="7" t="inlineStr">
        <is>
          <t>Strengths &amp; Weaknesses</t>
        </is>
      </c>
      <c r="D57" s="7" t="inlineStr">
        <is>
          <t>How would your colleagues describe you?</t>
        </is>
      </c>
      <c r="E57" s="20" t="inlineStr">
        <is>
          <t>High</t>
        </is>
      </c>
      <c r="F57" s="7" t="inlineStr">
        <is>
          <t>Name 2–3 traits → peer-relevant examples → honest self-reflection.</t>
        </is>
      </c>
      <c r="G57" s="7" t="n">
        <v>60</v>
      </c>
      <c r="H57" s="7" t="inlineStr">
        <is>
          <t>Tests peer relationships and self-image accuracy.</t>
        </is>
      </c>
    </row>
    <row r="58" ht="42" customHeight="1">
      <c r="A58" s="9" t="n">
        <v>26</v>
      </c>
      <c r="B58" s="10" t="n">
        <v>3</v>
      </c>
      <c r="C58" s="11" t="inlineStr">
        <is>
          <t>Strengths &amp; Weaknesses</t>
        </is>
      </c>
      <c r="D58" s="11" t="inlineStr">
        <is>
          <t>What skills are you still developing?</t>
        </is>
      </c>
      <c r="E58" s="20" t="inlineStr">
        <is>
          <t>High</t>
        </is>
      </c>
      <c r="F58" s="11" t="inlineStr">
        <is>
          <t>Name specifically → action you're taking → evidence of progress.</t>
        </is>
      </c>
      <c r="G58" s="11" t="n">
        <v>60</v>
      </c>
      <c r="H58" s="11" t="inlineStr">
        <is>
          <t>Professional growth question. 'None' is a wrong answer.</t>
        </is>
      </c>
    </row>
    <row r="59" ht="18" customHeight="1">
      <c r="A59" s="14" t="inlineStr">
        <is>
          <t xml:space="preserve">  CATEGORY 4 — MOTIVATION &amp; FIT</t>
        </is>
      </c>
    </row>
    <row r="60" ht="42" customHeight="1">
      <c r="A60" s="9" t="n">
        <v>33</v>
      </c>
      <c r="B60" s="10" t="n">
        <v>4</v>
      </c>
      <c r="C60" s="11" t="inlineStr">
        <is>
          <t>Motivation &amp; Fit</t>
        </is>
      </c>
      <c r="D60" s="11" t="inlineStr">
        <is>
          <t>What attracted you to this industry?</t>
        </is>
      </c>
      <c r="E60" s="20" t="inlineStr">
        <is>
          <t>High</t>
        </is>
      </c>
      <c r="F60" s="11" t="inlineStr">
        <is>
          <t>Personal story → professional alignment → why now.</t>
        </is>
      </c>
      <c r="G60" s="11" t="n">
        <v>60</v>
      </c>
      <c r="H60" s="11" t="inlineStr">
        <is>
          <t>Tests genuine motivation vs opportunistic application.</t>
        </is>
      </c>
    </row>
    <row r="61" ht="42" customHeight="1">
      <c r="A61" s="5" t="n">
        <v>34</v>
      </c>
      <c r="B61" s="6" t="n">
        <v>4</v>
      </c>
      <c r="C61" s="7" t="inlineStr">
        <is>
          <t>Motivation &amp; Fit</t>
        </is>
      </c>
      <c r="D61" s="7" t="inlineStr">
        <is>
          <t>How does this role align with your career goals?</t>
        </is>
      </c>
      <c r="E61" s="20" t="inlineStr">
        <is>
          <t>High</t>
        </is>
      </c>
      <c r="F61" s="7" t="inlineStr">
        <is>
          <t>Them → You → Together. Specific, not generic.</t>
        </is>
      </c>
      <c r="G61" s="7" t="n">
        <v>60</v>
      </c>
      <c r="H61" s="7" t="inlineStr">
        <is>
          <t>Tests role fit and longevity signal.</t>
        </is>
      </c>
    </row>
    <row r="62" ht="42" customHeight="1">
      <c r="A62" s="9" t="n">
        <v>35</v>
      </c>
      <c r="B62" s="10" t="n">
        <v>4</v>
      </c>
      <c r="C62" s="11" t="inlineStr">
        <is>
          <t>Motivation &amp; Fit</t>
        </is>
      </c>
      <c r="D62" s="11" t="inlineStr">
        <is>
          <t>What type of work environment do you thrive in?</t>
        </is>
      </c>
      <c r="E62" s="20" t="inlineStr">
        <is>
          <t>High</t>
        </is>
      </c>
      <c r="F62" s="11" t="inlineStr">
        <is>
          <t>Describe environment → match to what you know about this company.</t>
        </is>
      </c>
      <c r="G62" s="11" t="n">
        <v>60</v>
      </c>
      <c r="H62" s="11" t="inlineStr">
        <is>
          <t>Culture fit screening question.</t>
        </is>
      </c>
    </row>
    <row r="63" ht="42" customHeight="1">
      <c r="A63" s="5" t="n">
        <v>36</v>
      </c>
      <c r="B63" s="6" t="n">
        <v>4</v>
      </c>
      <c r="C63" s="7" t="inlineStr">
        <is>
          <t>Motivation &amp; Fit</t>
        </is>
      </c>
      <c r="D63" s="7" t="inlineStr">
        <is>
          <t>What motivates you at work?</t>
        </is>
      </c>
      <c r="E63" s="20" t="inlineStr">
        <is>
          <t>High</t>
        </is>
      </c>
      <c r="F63" s="7" t="inlineStr">
        <is>
          <t>Specific intrinsic motivators → evidence → tie to role.</t>
        </is>
      </c>
      <c r="G63" s="7" t="n">
        <v>60</v>
      </c>
      <c r="H63" s="7" t="inlineStr">
        <is>
          <t>Tests alignment. 'Money' alone = red flag.</t>
        </is>
      </c>
    </row>
    <row r="64" ht="18" customHeight="1">
      <c r="A64" s="15" t="inlineStr">
        <is>
          <t xml:space="preserve">  CATEGORY 5 — FUTURE &amp; AMBITION</t>
        </is>
      </c>
    </row>
    <row r="65" ht="42" customHeight="1">
      <c r="A65" s="5" t="n">
        <v>39</v>
      </c>
      <c r="B65" s="6" t="n">
        <v>5</v>
      </c>
      <c r="C65" s="7" t="inlineStr">
        <is>
          <t>Future &amp; Ambition</t>
        </is>
      </c>
      <c r="D65" s="7" t="inlineStr">
        <is>
          <t>Where do you see yourself in 10 years?</t>
        </is>
      </c>
      <c r="E65" s="20" t="inlineStr">
        <is>
          <t>High</t>
        </is>
      </c>
      <c r="F65" s="7" t="inlineStr">
        <is>
          <t>Broader directional vision → flexibility acknowledged → current focus.</t>
        </is>
      </c>
      <c r="G65" s="7" t="n">
        <v>60</v>
      </c>
      <c r="H65" s="7" t="inlineStr">
        <is>
          <t>Less common but used for senior/management roles.</t>
        </is>
      </c>
    </row>
    <row r="66" ht="42" customHeight="1">
      <c r="A66" s="9" t="n">
        <v>40</v>
      </c>
      <c r="B66" s="10" t="n">
        <v>5</v>
      </c>
      <c r="C66" s="11" t="inlineStr">
        <is>
          <t>Future &amp; Ambition</t>
        </is>
      </c>
      <c r="D66" s="11" t="inlineStr">
        <is>
          <t>What does success look like to you?</t>
        </is>
      </c>
      <c r="E66" s="20" t="inlineStr">
        <is>
          <t>High</t>
        </is>
      </c>
      <c r="F66" s="11" t="inlineStr">
        <is>
          <t>Role-specific 90-day success → longer-term impact → personal values.</t>
        </is>
      </c>
      <c r="G66" s="11" t="n">
        <v>60</v>
      </c>
      <c r="H66" s="11" t="inlineStr">
        <is>
          <t>Tests ambition alignment with company culture.</t>
        </is>
      </c>
    </row>
    <row r="67" ht="42" customHeight="1">
      <c r="A67" s="5" t="n">
        <v>41</v>
      </c>
      <c r="B67" s="6" t="n">
        <v>5</v>
      </c>
      <c r="C67" s="7" t="inlineStr">
        <is>
          <t>Future &amp; Ambition</t>
        </is>
      </c>
      <c r="D67" s="7" t="inlineStr">
        <is>
          <t>What are your salary expectations?</t>
        </is>
      </c>
      <c r="E67" s="20" t="inlineStr">
        <is>
          <t>High</t>
        </is>
      </c>
      <c r="F67" s="7" t="inlineStr">
        <is>
          <t>Research market → give range → show flexibility → anchor to value.</t>
        </is>
      </c>
      <c r="G67" s="7" t="n">
        <v>60</v>
      </c>
      <c r="H67" s="7" t="inlineStr">
        <is>
          <t>Pause → reframe → redirect. Never give a number without research.</t>
        </is>
      </c>
    </row>
    <row r="68" ht="18" customHeight="1">
      <c r="A68" s="18" t="inlineStr">
        <is>
          <t xml:space="preserve">  CATEGORY 6 — SITUATIONAL</t>
        </is>
      </c>
    </row>
    <row r="69" ht="42" customHeight="1">
      <c r="A69" s="5" t="n">
        <v>47</v>
      </c>
      <c r="B69" s="6" t="n">
        <v>6</v>
      </c>
      <c r="C69" s="7" t="inlineStr">
        <is>
          <t>Situational</t>
        </is>
      </c>
      <c r="D69" s="7" t="inlineStr">
        <is>
          <t>How do you prioritise when everything feels urgent?</t>
        </is>
      </c>
      <c r="E69" s="20" t="inlineStr">
        <is>
          <t>High</t>
        </is>
      </c>
      <c r="F69" s="7" t="inlineStr">
        <is>
          <t>PACE — name your prioritisation framework explicitly.</t>
        </is>
      </c>
      <c r="G69" s="7" t="n">
        <v>90</v>
      </c>
      <c r="H69" s="7" t="inlineStr">
        <is>
          <t>Time management and decision-making.</t>
        </is>
      </c>
    </row>
    <row r="70" ht="42" customHeight="1">
      <c r="A70" s="9" t="n">
        <v>48</v>
      </c>
      <c r="B70" s="10" t="n">
        <v>6</v>
      </c>
      <c r="C70" s="11" t="inlineStr">
        <is>
          <t>Situational</t>
        </is>
      </c>
      <c r="D70" s="11" t="inlineStr">
        <is>
          <t>What would you do if you found an error in your manager's work?</t>
        </is>
      </c>
      <c r="E70" s="20" t="inlineStr">
        <is>
          <t>High</t>
        </is>
      </c>
      <c r="F70" s="11" t="inlineStr">
        <is>
          <t>PACE — verify, private conversation, solution-first approach.</t>
        </is>
      </c>
      <c r="G70" s="11" t="n">
        <v>90</v>
      </c>
      <c r="H70" s="11" t="inlineStr">
        <is>
          <t>Tests professional courage and tact.</t>
        </is>
      </c>
    </row>
    <row r="71" ht="42" customHeight="1">
      <c r="A71" s="5" t="n">
        <v>49</v>
      </c>
      <c r="B71" s="6" t="n">
        <v>6</v>
      </c>
      <c r="C71" s="7" t="inlineStr">
        <is>
          <t>Situational</t>
        </is>
      </c>
      <c r="D71" s="7" t="inlineStr">
        <is>
          <t>How would you approach a project you know nothing about?</t>
        </is>
      </c>
      <c r="E71" s="20" t="inlineStr">
        <is>
          <t>High</t>
        </is>
      </c>
      <c r="F71" s="7" t="inlineStr">
        <is>
          <t>PACE — research, ask questions, map stakeholders, deliver incrementally.</t>
        </is>
      </c>
      <c r="G71" s="7" t="n">
        <v>90</v>
      </c>
      <c r="H71" s="7" t="inlineStr">
        <is>
          <t>Tests resourcefulness and learning agility.</t>
        </is>
      </c>
    </row>
    <row r="72" ht="42" customHeight="1">
      <c r="A72" s="9" t="n">
        <v>50</v>
      </c>
      <c r="B72" s="10" t="n">
        <v>6</v>
      </c>
      <c r="C72" s="11" t="inlineStr">
        <is>
          <t>Situational</t>
        </is>
      </c>
      <c r="D72" s="11" t="inlineStr">
        <is>
          <t>What would you do if a client was unhappy with your work?</t>
        </is>
      </c>
      <c r="E72" s="20" t="inlineStr">
        <is>
          <t>High</t>
        </is>
      </c>
      <c r="F72" s="11" t="inlineStr">
        <is>
          <t>PACE — listen first, acknowledge, action plan, follow through.</t>
        </is>
      </c>
      <c r="G72" s="11" t="n">
        <v>90</v>
      </c>
      <c r="H72" s="11" t="inlineStr">
        <is>
          <t>Common for client-facing and service roles.</t>
        </is>
      </c>
    </row>
    <row r="73" ht="42" customHeight="1">
      <c r="A73" s="5" t="n">
        <v>51</v>
      </c>
      <c r="B73" s="6" t="n">
        <v>6</v>
      </c>
      <c r="C73" s="7" t="inlineStr">
        <is>
          <t>Situational</t>
        </is>
      </c>
      <c r="D73" s="7" t="inlineStr">
        <is>
          <t>How would you handle working with a difficult team member?</t>
        </is>
      </c>
      <c r="E73" s="20" t="inlineStr">
        <is>
          <t>High</t>
        </is>
      </c>
      <c r="F73" s="7" t="inlineStr">
        <is>
          <t>PACE — empathy, conversation, collaboration, escalation only if needed.</t>
        </is>
      </c>
      <c r="G73" s="7" t="n">
        <v>90</v>
      </c>
      <c r="H73" s="7" t="inlineStr">
        <is>
          <t>Tests collaboration under stress.</t>
        </is>
      </c>
    </row>
    <row r="74" ht="18" customHeight="1">
      <c r="A74" s="19" t="inlineStr">
        <is>
          <t xml:space="preserve">  CATEGORY 7 — CURVEBALL / PRESSURE</t>
        </is>
      </c>
    </row>
    <row r="75" ht="42" customHeight="1">
      <c r="A75" s="5" t="n">
        <v>55</v>
      </c>
      <c r="B75" s="6" t="n">
        <v>7</v>
      </c>
      <c r="C75" s="7" t="inlineStr">
        <is>
          <t>Curveball / Pressure</t>
        </is>
      </c>
      <c r="D75" s="7" t="inlineStr">
        <is>
          <t>Tell me something not on your resume</t>
        </is>
      </c>
      <c r="E75" s="20" t="inlineStr">
        <is>
          <t>High</t>
        </is>
      </c>
      <c r="F75" s="7" t="inlineStr">
        <is>
          <t>Relevant personal trait, project, or perspective. Keep professional.</t>
        </is>
      </c>
      <c r="G75" s="7" t="n">
        <v>60</v>
      </c>
      <c r="H75" s="7" t="inlineStr">
        <is>
          <t>Personality and depth test.</t>
        </is>
      </c>
    </row>
    <row r="76" ht="42" customHeight="1">
      <c r="A76" s="9" t="n">
        <v>56</v>
      </c>
      <c r="B76" s="10" t="n">
        <v>7</v>
      </c>
      <c r="C76" s="11" t="inlineStr">
        <is>
          <t>Curveball / Pressure</t>
        </is>
      </c>
      <c r="D76" s="11" t="inlineStr">
        <is>
          <t>What would your previous manager say about you — honestly?</t>
        </is>
      </c>
      <c r="E76" s="20" t="inlineStr">
        <is>
          <t>High</t>
        </is>
      </c>
      <c r="F76" s="11" t="inlineStr">
        <is>
          <t>Honest positives + one real area of feedback → show you received it well.</t>
        </is>
      </c>
      <c r="G76" s="11" t="n">
        <v>60</v>
      </c>
      <c r="H76" s="11" t="inlineStr">
        <is>
          <t>Tests self-awareness and receptiveness to feedback.</t>
        </is>
      </c>
    </row>
    <row r="77" ht="42" customHeight="1">
      <c r="A77" s="5" t="n">
        <v>57</v>
      </c>
      <c r="B77" s="6" t="n">
        <v>7</v>
      </c>
      <c r="C77" s="7" t="inlineStr">
        <is>
          <t>Curveball / Pressure</t>
        </is>
      </c>
      <c r="D77" s="7" t="inlineStr">
        <is>
          <t>If I called your last manager right now, what would they say?</t>
        </is>
      </c>
      <c r="E77" s="20" t="inlineStr">
        <is>
          <t>High</t>
        </is>
      </c>
      <c r="F77" s="7" t="inlineStr">
        <is>
          <t>Same as above — honest, specific, confident.</t>
        </is>
      </c>
      <c r="G77" s="7" t="n">
        <v>60</v>
      </c>
      <c r="H77" s="7" t="inlineStr">
        <is>
          <t>Pressure version of Q56. Tests consistency.</t>
        </is>
      </c>
    </row>
    <row r="78" ht="42" customHeight="1">
      <c r="A78" s="9" t="n">
        <v>60</v>
      </c>
      <c r="B78" s="10" t="n">
        <v>7</v>
      </c>
      <c r="C78" s="11" t="inlineStr">
        <is>
          <t>Curveball / Pressure</t>
        </is>
      </c>
      <c r="D78" s="11" t="inlineStr">
        <is>
          <t>How do you handle stress and pressure?</t>
        </is>
      </c>
      <c r="E78" s="20" t="inlineStr">
        <is>
          <t>High</t>
        </is>
      </c>
      <c r="F78" s="11" t="inlineStr">
        <is>
          <t>Specific coping strategy → example of using it → outcome.</t>
        </is>
      </c>
      <c r="G78" s="11" t="n">
        <v>60</v>
      </c>
      <c r="H78" s="11" t="inlineStr">
        <is>
          <t>Tests resilience and self-management.</t>
        </is>
      </c>
    </row>
    <row r="79" ht="18" customHeight="1">
      <c r="A79" s="16" t="inlineStr">
        <is>
          <t xml:space="preserve">  CATEGORY 8 — CLOSING QUESTIONS</t>
        </is>
      </c>
    </row>
    <row r="80" ht="42" customHeight="1">
      <c r="A80" s="9" t="n">
        <v>68</v>
      </c>
      <c r="B80" s="10" t="n">
        <v>8</v>
      </c>
      <c r="C80" s="11" t="inlineStr">
        <is>
          <t>Closing Questions</t>
        </is>
      </c>
      <c r="D80" s="11" t="inlineStr">
        <is>
          <t>How has this role evolved over the last year?</t>
        </is>
      </c>
      <c r="E80" s="20" t="inlineStr">
        <is>
          <t>High</t>
        </is>
      </c>
      <c r="F80" s="11" t="inlineStr">
        <is>
          <t>Shows you understand roles grow. Positions you as a long-term thinker.</t>
        </is>
      </c>
      <c r="G80" s="11" t="n">
        <v>60</v>
      </c>
      <c r="H80" s="11" t="inlineStr">
        <is>
          <t>Good signal of tenure awareness.</t>
        </is>
      </c>
    </row>
    <row r="81" ht="42" customHeight="1">
      <c r="A81" s="5" t="n">
        <v>69</v>
      </c>
      <c r="B81" s="6" t="n">
        <v>8</v>
      </c>
      <c r="C81" s="7" t="inlineStr">
        <is>
          <t>Closing Questions</t>
        </is>
      </c>
      <c r="D81" s="7" t="inlineStr">
        <is>
          <t>What do people who thrive here have in common?</t>
        </is>
      </c>
      <c r="E81" s="20" t="inlineStr">
        <is>
          <t>High</t>
        </is>
      </c>
      <c r="F81" s="7" t="inlineStr">
        <is>
          <t>Gives you culture fit data AND shows self-awareness.</t>
        </is>
      </c>
      <c r="G81" s="7" t="n">
        <v>60</v>
      </c>
      <c r="H81" s="7" t="inlineStr">
        <is>
          <t>Dual benefit question — research + self-positioning.</t>
        </is>
      </c>
    </row>
    <row r="82" ht="42" customHeight="1">
      <c r="A82" s="9" t="n">
        <v>70</v>
      </c>
      <c r="B82" s="10" t="n">
        <v>8</v>
      </c>
      <c r="C82" s="11" t="inlineStr">
        <is>
          <t>Closing Questions</t>
        </is>
      </c>
      <c r="D82" s="11" t="inlineStr">
        <is>
          <t>Is there anything in my background that concerns you?</t>
        </is>
      </c>
      <c r="E82" s="20" t="inlineStr">
        <is>
          <t>High</t>
        </is>
      </c>
      <c r="F82" s="11" t="inlineStr">
        <is>
          <t>Bold but powerful. Opens door to handle objections in real time.</t>
        </is>
      </c>
      <c r="G82" s="11" t="n">
        <v>60</v>
      </c>
      <c r="H82" s="11" t="inlineStr">
        <is>
          <t>High risk, high reward. Only ask if you feel confident.</t>
        </is>
      </c>
    </row>
    <row r="83" ht="42" customHeight="1">
      <c r="A83" s="5" t="n">
        <v>72</v>
      </c>
      <c r="B83" s="6" t="n">
        <v>8</v>
      </c>
      <c r="C83" s="7" t="inlineStr">
        <is>
          <t>Closing Questions</t>
        </is>
      </c>
      <c r="D83" s="7" t="inlineStr">
        <is>
          <t>What do you enjoy most about working here?</t>
        </is>
      </c>
      <c r="E83" s="20" t="inlineStr">
        <is>
          <t>High</t>
        </is>
      </c>
      <c r="F83" s="7" t="inlineStr">
        <is>
          <t>Humanises the interviewer. Gives you authentic culture insight.</t>
        </is>
      </c>
      <c r="G83" s="7" t="n">
        <v>45</v>
      </c>
      <c r="H83" s="7" t="inlineStr">
        <is>
          <t>Shows you value real perspectives, not just company PR.</t>
        </is>
      </c>
    </row>
    <row r="84" ht="42" customHeight="1">
      <c r="A84" s="9" t="n">
        <v>73</v>
      </c>
      <c r="B84" s="10" t="n">
        <v>8</v>
      </c>
      <c r="C84" s="11" t="inlineStr">
        <is>
          <t>Closing Questions</t>
        </is>
      </c>
      <c r="D84" s="11" t="inlineStr">
        <is>
          <t>How would you describe the team culture?</t>
        </is>
      </c>
      <c r="E84" s="20" t="inlineStr">
        <is>
          <t>High</t>
        </is>
      </c>
      <c r="F84" s="11" t="inlineStr">
        <is>
          <t>Good follow-up to generic culture answers. Press for specifics.</t>
        </is>
      </c>
      <c r="G84" s="11" t="n">
        <v>45</v>
      </c>
      <c r="H84" s="11" t="inlineStr">
        <is>
          <t>Culture fit due diligence.</t>
        </is>
      </c>
    </row>
    <row r="85" ht="42" customHeight="1">
      <c r="A85" s="5" t="n">
        <v>75</v>
      </c>
      <c r="B85" s="6" t="n">
        <v>8</v>
      </c>
      <c r="C85" s="7" t="inlineStr">
        <is>
          <t>Closing Questions</t>
        </is>
      </c>
      <c r="D85" s="7" t="inlineStr">
        <is>
          <t>When can I expect to hear back from you?</t>
        </is>
      </c>
      <c r="E85" s="20" t="inlineStr">
        <is>
          <t>High</t>
        </is>
      </c>
      <c r="F85" s="7" t="inlineStr">
        <is>
          <t>Always ask this before you leave. Sets follow-up timeline.</t>
        </is>
      </c>
      <c r="G85" s="7" t="n">
        <v>30</v>
      </c>
      <c r="H85" s="7" t="inlineStr">
        <is>
          <t>Professional closure question.</t>
        </is>
      </c>
    </row>
    <row r="86" ht="18" customHeight="1">
      <c r="A86" s="12" t="inlineStr">
        <is>
          <t xml:space="preserve">  CATEGORY 2 — BEHAVIOURAL</t>
        </is>
      </c>
    </row>
    <row r="87" ht="42" customHeight="1">
      <c r="A87" s="5" t="n">
        <v>18</v>
      </c>
      <c r="B87" s="6" t="n">
        <v>2</v>
      </c>
      <c r="C87" s="7" t="inlineStr">
        <is>
          <t>Behavioural</t>
        </is>
      </c>
      <c r="D87" s="7" t="inlineStr">
        <is>
          <t>Tell me about a time you influenced without authority</t>
        </is>
      </c>
      <c r="E87" s="21" t="inlineStr">
        <is>
          <t>Medium</t>
        </is>
      </c>
      <c r="F87" s="7" t="inlineStr">
        <is>
          <t>STAR — Action shows persuasion, data use, and relationship building.</t>
        </is>
      </c>
      <c r="G87" s="7" t="n">
        <v>90</v>
      </c>
      <c r="H87" s="7" t="inlineStr">
        <is>
          <t>Common for senior or cross-functional roles.</t>
        </is>
      </c>
    </row>
    <row r="88" ht="42" customHeight="1">
      <c r="A88" s="9" t="n">
        <v>19</v>
      </c>
      <c r="B88" s="10" t="n">
        <v>2</v>
      </c>
      <c r="C88" s="11" t="inlineStr">
        <is>
          <t>Behavioural</t>
        </is>
      </c>
      <c r="D88" s="11" t="inlineStr">
        <is>
          <t>Describe a time you went above and beyond</t>
        </is>
      </c>
      <c r="E88" s="21" t="inlineStr">
        <is>
          <t>Medium</t>
        </is>
      </c>
      <c r="F88" s="11" t="inlineStr">
        <is>
          <t>STAR — Result shows self-motivation, not just compliance.</t>
        </is>
      </c>
      <c r="G88" s="11" t="n">
        <v>90</v>
      </c>
      <c r="H88" s="11" t="inlineStr">
        <is>
          <t>Tests discretionary effort and ownership culture fit.</t>
        </is>
      </c>
    </row>
    <row r="89" ht="42" customHeight="1">
      <c r="A89" s="5" t="n">
        <v>20</v>
      </c>
      <c r="B89" s="6" t="n">
        <v>2</v>
      </c>
      <c r="C89" s="7" t="inlineStr">
        <is>
          <t>Behavioural</t>
        </is>
      </c>
      <c r="D89" s="7" t="inlineStr">
        <is>
          <t>Tell me about a time you had to manage multiple priorities</t>
        </is>
      </c>
      <c r="E89" s="21" t="inlineStr">
        <is>
          <t>Medium</t>
        </is>
      </c>
      <c r="F89" s="7" t="inlineStr">
        <is>
          <t>STAR — Action shows explicit prioritisation framework.</t>
        </is>
      </c>
      <c r="G89" s="7" t="n">
        <v>90</v>
      </c>
      <c r="H89" s="7" t="inlineStr">
        <is>
          <t>Tests time management and decision-making.</t>
        </is>
      </c>
    </row>
    <row r="90" ht="18" customHeight="1">
      <c r="A90" s="13" t="inlineStr">
        <is>
          <t xml:space="preserve">  CATEGORY 3 — STRENGTHS &amp; WEAKNESSES</t>
        </is>
      </c>
    </row>
    <row r="91" ht="42" customHeight="1">
      <c r="A91" s="5" t="n">
        <v>27</v>
      </c>
      <c r="B91" s="6" t="n">
        <v>3</v>
      </c>
      <c r="C91" s="7" t="inlineStr">
        <is>
          <t>Strengths &amp; Weaknesses</t>
        </is>
      </c>
      <c r="D91" s="7" t="inlineStr">
        <is>
          <t>What do you consider your best professional skill?</t>
        </is>
      </c>
      <c r="E91" s="21" t="inlineStr">
        <is>
          <t>Medium</t>
        </is>
      </c>
      <c r="F91" s="7" t="inlineStr">
        <is>
          <t>Name → Evidence (metrics) → Why it matters for this role.</t>
        </is>
      </c>
      <c r="G91" s="7" t="n">
        <v>60</v>
      </c>
      <c r="H91" s="7" t="inlineStr">
        <is>
          <t>More specific than 'greatest strength.'</t>
        </is>
      </c>
    </row>
    <row r="92" ht="18" customHeight="1">
      <c r="A92" s="15" t="inlineStr">
        <is>
          <t xml:space="preserve">  CATEGORY 5 — FUTURE &amp; AMBITION</t>
        </is>
      </c>
    </row>
    <row r="93" ht="42" customHeight="1">
      <c r="A93" s="5" t="n">
        <v>42</v>
      </c>
      <c r="B93" s="6" t="n">
        <v>5</v>
      </c>
      <c r="C93" s="7" t="inlineStr">
        <is>
          <t>Future &amp; Ambition</t>
        </is>
      </c>
      <c r="D93" s="7" t="inlineStr">
        <is>
          <t>Are you considering other offers?</t>
        </is>
      </c>
      <c r="E93" s="21" t="inlineStr">
        <is>
          <t>Medium</t>
        </is>
      </c>
      <c r="F93" s="7" t="inlineStr">
        <is>
          <t>Honest but measured. Use to signal demand without pressure.</t>
        </is>
      </c>
      <c r="G93" s="7" t="n">
        <v>45</v>
      </c>
      <c r="H93" s="7" t="inlineStr">
        <is>
          <t>Negotiation intelligence gathering question.</t>
        </is>
      </c>
    </row>
    <row r="94" ht="42" customHeight="1">
      <c r="A94" s="9" t="n">
        <v>43</v>
      </c>
      <c r="B94" s="10" t="n">
        <v>5</v>
      </c>
      <c r="C94" s="11" t="inlineStr">
        <is>
          <t>Future &amp; Ambition</t>
        </is>
      </c>
      <c r="D94" s="11" t="inlineStr">
        <is>
          <t>What would you do in the first 30/60/90 days?</t>
        </is>
      </c>
      <c r="E94" s="21" t="inlineStr">
        <is>
          <t>Medium</t>
        </is>
      </c>
      <c r="F94" s="11" t="inlineStr">
        <is>
          <t>Learn → Contribute → Lead. Specific, not vague platitudes.</t>
        </is>
      </c>
      <c r="G94" s="11" t="n">
        <v>90</v>
      </c>
      <c r="H94" s="11" t="inlineStr">
        <is>
          <t>Common for senior and management roles.</t>
        </is>
      </c>
    </row>
    <row r="95" ht="18" customHeight="1">
      <c r="A95" s="18" t="inlineStr">
        <is>
          <t xml:space="preserve">  CATEGORY 6 — SITUATIONAL</t>
        </is>
      </c>
    </row>
    <row r="96" ht="42" customHeight="1">
      <c r="A96" s="9" t="n">
        <v>52</v>
      </c>
      <c r="B96" s="10" t="n">
        <v>6</v>
      </c>
      <c r="C96" s="11" t="inlineStr">
        <is>
          <t>Situational</t>
        </is>
      </c>
      <c r="D96" s="11" t="inlineStr">
        <is>
          <t>What would you do if asked to do something unethical?</t>
        </is>
      </c>
      <c r="E96" s="21" t="inlineStr">
        <is>
          <t>Medium</t>
        </is>
      </c>
      <c r="F96" s="11" t="inlineStr">
        <is>
          <t>Pause → Reframe (clarify intent) → Decline professionally → Escalate.</t>
        </is>
      </c>
      <c r="G96" s="11" t="n">
        <v>90</v>
      </c>
      <c r="H96" s="11" t="inlineStr">
        <is>
          <t>Tests integrity. Rare but memorable if asked.</t>
        </is>
      </c>
    </row>
    <row r="97" ht="42" customHeight="1">
      <c r="A97" s="5" t="n">
        <v>53</v>
      </c>
      <c r="B97" s="6" t="n">
        <v>6</v>
      </c>
      <c r="C97" s="7" t="inlineStr">
        <is>
          <t>Situational</t>
        </is>
      </c>
      <c r="D97" s="7" t="inlineStr">
        <is>
          <t>How would you onboard yourself to a new team?</t>
        </is>
      </c>
      <c r="E97" s="21" t="inlineStr">
        <is>
          <t>Medium</t>
        </is>
      </c>
      <c r="F97" s="7" t="inlineStr">
        <is>
          <t>PACE — listen first, build relationships, contribute early.</t>
        </is>
      </c>
      <c r="G97" s="7" t="n">
        <v>90</v>
      </c>
      <c r="H97" s="7" t="inlineStr">
        <is>
          <t>Common for experienced hires.</t>
        </is>
      </c>
    </row>
    <row r="98" ht="18" customHeight="1">
      <c r="A98" s="19" t="inlineStr">
        <is>
          <t xml:space="preserve">  CATEGORY 7 — CURVEBALL / PRESSURE</t>
        </is>
      </c>
    </row>
    <row r="99" ht="42" customHeight="1">
      <c r="A99" s="5" t="n">
        <v>58</v>
      </c>
      <c r="B99" s="6" t="n">
        <v>7</v>
      </c>
      <c r="C99" s="7" t="inlineStr">
        <is>
          <t>Curveball / Pressure</t>
        </is>
      </c>
      <c r="D99" s="7" t="inlineStr">
        <is>
          <t>What's a controversial opinion you hold?</t>
        </is>
      </c>
      <c r="E99" s="21" t="inlineStr">
        <is>
          <t>Medium</t>
        </is>
      </c>
      <c r="F99" s="7" t="inlineStr">
        <is>
          <t>Pause → choose carefully → state with confidence + nuance.</t>
        </is>
      </c>
      <c r="G99" s="7" t="n">
        <v>60</v>
      </c>
      <c r="H99" s="7" t="inlineStr">
        <is>
          <t>Tests intellectual confidence. Avoid politics and religion.</t>
        </is>
      </c>
    </row>
    <row r="100" ht="42" customHeight="1">
      <c r="A100" s="9" t="n">
        <v>59</v>
      </c>
      <c r="B100" s="10" t="n">
        <v>7</v>
      </c>
      <c r="C100" s="11" t="inlineStr">
        <is>
          <t>Curveball / Pressure</t>
        </is>
      </c>
      <c r="D100" s="11" t="inlineStr">
        <is>
          <t>What do you do in your spare time?</t>
        </is>
      </c>
      <c r="E100" s="21" t="inlineStr">
        <is>
          <t>Medium</t>
        </is>
      </c>
      <c r="F100" s="11" t="inlineStr">
        <is>
          <t>2–3 genuine interests. Connect at least one to professional growth.</t>
        </is>
      </c>
      <c r="G100" s="11" t="n">
        <v>45</v>
      </c>
      <c r="H100" s="11" t="inlineStr">
        <is>
          <t>Personality and culture fit signal.</t>
        </is>
      </c>
    </row>
    <row r="101" ht="42" customHeight="1">
      <c r="A101" s="5" t="n">
        <v>63</v>
      </c>
      <c r="B101" s="6" t="n">
        <v>7</v>
      </c>
      <c r="C101" s="7" t="inlineStr">
        <is>
          <t>Curveball / Pressure</t>
        </is>
      </c>
      <c r="D101" s="7" t="inlineStr">
        <is>
          <t>What book are you reading right now?</t>
        </is>
      </c>
      <c r="E101" s="21" t="inlineStr">
        <is>
          <t>Medium</t>
        </is>
      </c>
      <c r="F101" s="7" t="inlineStr">
        <is>
          <t>Have a real answer. Tie the book to professional growth if possible.</t>
        </is>
      </c>
      <c r="G101" s="7" t="n">
        <v>30</v>
      </c>
      <c r="H101" s="7" t="inlineStr">
        <is>
          <t>Tests intellectual curiosity and honesty.</t>
        </is>
      </c>
    </row>
    <row r="102" ht="42" customHeight="1">
      <c r="A102" s="9" t="n">
        <v>64</v>
      </c>
      <c r="B102" s="10" t="n">
        <v>7</v>
      </c>
      <c r="C102" s="11" t="inlineStr">
        <is>
          <t>Curveball / Pressure</t>
        </is>
      </c>
      <c r="D102" s="11" t="inlineStr">
        <is>
          <t>How would you rate yourself out of 10?</t>
        </is>
      </c>
      <c r="E102" s="21" t="inlineStr">
        <is>
          <t>Medium</t>
        </is>
      </c>
      <c r="F102" s="11" t="inlineStr">
        <is>
          <t>Give 7–8. Explain why not 10 (room to grow) and why not below 7.</t>
        </is>
      </c>
      <c r="G102" s="11" t="n">
        <v>45</v>
      </c>
      <c r="H102" s="11" t="inlineStr">
        <is>
          <t>Confidence + humility balance test.</t>
        </is>
      </c>
    </row>
    <row r="103" ht="18" customHeight="1">
      <c r="A103" s="16" t="inlineStr">
        <is>
          <t xml:space="preserve">  CATEGORY 8 — CLOSING QUESTIONS</t>
        </is>
      </c>
    </row>
    <row r="104" ht="42" customHeight="1">
      <c r="A104" s="9" t="n">
        <v>74</v>
      </c>
      <c r="B104" s="10" t="n">
        <v>8</v>
      </c>
      <c r="C104" s="11" t="inlineStr">
        <is>
          <t>Closing Questions</t>
        </is>
      </c>
      <c r="D104" s="11" t="inlineStr">
        <is>
          <t>What growth opportunities exist in this role?</t>
        </is>
      </c>
      <c r="E104" s="21" t="inlineStr">
        <is>
          <t>Medium</t>
        </is>
      </c>
      <c r="F104" s="11" t="inlineStr">
        <is>
          <t>Shows ambition. Ask with development framing, not promotion framing.</t>
        </is>
      </c>
      <c r="G104" s="11" t="n">
        <v>45</v>
      </c>
      <c r="H104" s="11" t="inlineStr">
        <is>
          <t>Career growth signal.</t>
        </is>
      </c>
    </row>
    <row r="105" ht="18" customHeight="1">
      <c r="A105" s="19" t="inlineStr">
        <is>
          <t xml:space="preserve">  CATEGORY 7 — CURVEBALL / PRESSURE</t>
        </is>
      </c>
    </row>
    <row r="106" ht="42" customHeight="1">
      <c r="A106" s="9" t="n">
        <v>61</v>
      </c>
      <c r="B106" s="10" t="n">
        <v>7</v>
      </c>
      <c r="C106" s="11" t="inlineStr">
        <is>
          <t>Curveball / Pressure</t>
        </is>
      </c>
      <c r="D106" s="11" t="inlineStr">
        <is>
          <t>Tell me a joke</t>
        </is>
      </c>
      <c r="E106" s="22" t="inlineStr">
        <is>
          <t>Low</t>
        </is>
      </c>
      <c r="F106" s="11" t="inlineStr">
        <is>
          <t>Pause → light, clean, self-deprecating. Never offensive.</t>
        </is>
      </c>
      <c r="G106" s="11" t="n">
        <v>30</v>
      </c>
      <c r="H106" s="11" t="inlineStr">
        <is>
          <t>Rare. Tests composure and social intelligence.</t>
        </is>
      </c>
    </row>
    <row r="107" ht="42" customHeight="1">
      <c r="A107" s="5" t="n">
        <v>62</v>
      </c>
      <c r="B107" s="6" t="n">
        <v>7</v>
      </c>
      <c r="C107" s="7" t="inlineStr">
        <is>
          <t>Curveball / Pressure</t>
        </is>
      </c>
      <c r="D107" s="7" t="inlineStr">
        <is>
          <t>If you were an animal, what would you be and why?</t>
        </is>
      </c>
      <c r="E107" s="22" t="inlineStr">
        <is>
          <t>Low</t>
        </is>
      </c>
      <c r="F107" s="7" t="inlineStr">
        <is>
          <t>Pause → choose one with professional relevance → brief explanation.</t>
        </is>
      </c>
      <c r="G107" s="7" t="n">
        <v>30</v>
      </c>
      <c r="H107" s="7" t="inlineStr">
        <is>
          <t>Personality test. Take it lightly but don't be silly.</t>
        </is>
      </c>
    </row>
  </sheetData>
  <mergeCells count="31">
    <mergeCell ref="A92:H92"/>
    <mergeCell ref="A59:H59"/>
    <mergeCell ref="A24:H24"/>
    <mergeCell ref="A64:H64"/>
    <mergeCell ref="A98:H98"/>
    <mergeCell ref="A36:H36"/>
    <mergeCell ref="A49:H49"/>
    <mergeCell ref="A1:H1"/>
    <mergeCell ref="A103:H103"/>
    <mergeCell ref="A79:H79"/>
    <mergeCell ref="A7:H7"/>
    <mergeCell ref="A16:H16"/>
    <mergeCell ref="A90:H90"/>
    <mergeCell ref="A74:H74"/>
    <mergeCell ref="A18:H18"/>
    <mergeCell ref="A56:H56"/>
    <mergeCell ref="A21:H21"/>
    <mergeCell ref="A105:H105"/>
    <mergeCell ref="A86:H86"/>
    <mergeCell ref="A95:H95"/>
    <mergeCell ref="A2:H2"/>
    <mergeCell ref="A42:H42"/>
    <mergeCell ref="A47:H47"/>
    <mergeCell ref="A32:H32"/>
    <mergeCell ref="A4:H4"/>
    <mergeCell ref="A29:H29"/>
    <mergeCell ref="A38:H38"/>
    <mergeCell ref="A10:H10"/>
    <mergeCell ref="A13:H13"/>
    <mergeCell ref="A68:H68"/>
    <mergeCell ref="A44:H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2" customWidth="1" min="3" max="3"/>
    <col width="60" customWidth="1" min="4" max="4"/>
    <col width="14" customWidth="1" min="5" max="5"/>
    <col width="40" customWidth="1" min="6" max="6"/>
    <col width="12" customWidth="1" min="7" max="7"/>
    <col width="45" customWidth="1" min="8" max="8"/>
  </cols>
  <sheetData>
    <row r="1" ht="32" customHeight="1">
      <c r="A1" s="1" t="inlineStr">
        <is>
          <t>INTERVISE — Questions Organised by Category (8 Formats)</t>
        </is>
      </c>
    </row>
    <row r="2" ht="18" customHeight="1">
      <c r="A2" s="2" t="inlineStr">
        <is>
          <t>Each category has one answer format. Learn the format — not the answer.</t>
        </is>
      </c>
    </row>
    <row r="3" ht="20" customHeight="1">
      <c r="A3" s="23" t="inlineStr">
        <is>
          <t>Rank</t>
        </is>
      </c>
      <c r="B3" s="23" t="inlineStr">
        <is>
          <t>Cat #</t>
        </is>
      </c>
      <c r="C3" s="23" t="inlineStr">
        <is>
          <t>Category</t>
        </is>
      </c>
      <c r="D3" s="23" t="inlineStr">
        <is>
          <t>Question</t>
        </is>
      </c>
      <c r="E3" s="23" t="inlineStr">
        <is>
          <t>Frequency</t>
        </is>
      </c>
      <c r="F3" s="23" t="inlineStr">
        <is>
          <t>Answer Format</t>
        </is>
      </c>
      <c r="G3" s="23" t="inlineStr">
        <is>
          <t>Time Limit (sec)</t>
        </is>
      </c>
      <c r="H3" s="23" t="inlineStr">
        <is>
          <t>Notes / Source</t>
        </is>
      </c>
    </row>
    <row r="4" ht="22" customHeight="1">
      <c r="A4" s="24" t="inlineStr">
        <is>
          <t xml:space="preserve">  CATEGORY 1 — IDENTITY &amp; BACKGROUND  (5 questions)</t>
        </is>
      </c>
    </row>
    <row r="5" ht="40" customHeight="1">
      <c r="A5" s="5" t="n">
        <v>1</v>
      </c>
      <c r="B5" s="6" t="n">
        <v>1</v>
      </c>
      <c r="C5" s="7" t="inlineStr">
        <is>
          <t>Identity &amp; Background</t>
        </is>
      </c>
      <c r="D5" s="7" t="inlineStr">
        <is>
          <t>Tell me about yourself</t>
        </is>
      </c>
      <c r="E5" s="8" t="inlineStr">
        <is>
          <t>Universal</t>
        </is>
      </c>
      <c r="F5" s="7" t="inlineStr">
        <is>
          <t>Present → Past → Future. 60–90 seconds. No CV walkthrough.</t>
        </is>
      </c>
      <c r="G5" s="7" t="n">
        <v>90</v>
      </c>
      <c r="H5" s="7" t="inlineStr">
        <is>
          <t>Asked in 93%+ of all interviews. Always the opener.</t>
        </is>
      </c>
    </row>
    <row r="6" ht="40" customHeight="1">
      <c r="A6" s="9" t="n">
        <v>2</v>
      </c>
      <c r="B6" s="10" t="n">
        <v>1</v>
      </c>
      <c r="C6" s="11" t="inlineStr">
        <is>
          <t>Identity &amp; Background</t>
        </is>
      </c>
      <c r="D6" s="11" t="inlineStr">
        <is>
          <t>Walk me through your resume / background</t>
        </is>
      </c>
      <c r="E6" s="8" t="inlineStr">
        <is>
          <t>Universal</t>
        </is>
      </c>
      <c r="F6" s="11" t="inlineStr">
        <is>
          <t>Present → Past → Future. Narrative arc, not chronology.</t>
        </is>
      </c>
      <c r="G6" s="11" t="n">
        <v>90</v>
      </c>
      <c r="H6" s="11" t="inlineStr">
        <is>
          <t>Second most common opener. Often used interchangeably with Q1.</t>
        </is>
      </c>
    </row>
    <row r="7" ht="40" customHeight="1">
      <c r="A7" s="5" t="n">
        <v>3</v>
      </c>
      <c r="B7" s="6" t="n">
        <v>1</v>
      </c>
      <c r="C7" s="7" t="inlineStr">
        <is>
          <t>Identity &amp; Background</t>
        </is>
      </c>
      <c r="D7" s="7" t="inlineStr">
        <is>
          <t>How would you describe yourself in three words?</t>
        </is>
      </c>
      <c r="E7" s="17" t="inlineStr">
        <is>
          <t>Very High</t>
        </is>
      </c>
      <c r="F7" s="7" t="inlineStr">
        <is>
          <t>Name 3 words → one specific example for each → tie to role.</t>
        </is>
      </c>
      <c r="G7" s="7" t="n">
        <v>60</v>
      </c>
      <c r="H7" s="7" t="inlineStr">
        <is>
          <t>Common screening question. Tests self-awareness instantly.</t>
        </is>
      </c>
    </row>
    <row r="8" ht="40" customHeight="1">
      <c r="A8" s="9" t="n">
        <v>4</v>
      </c>
      <c r="B8" s="10" t="n">
        <v>1</v>
      </c>
      <c r="C8" s="11" t="inlineStr">
        <is>
          <t>Identity &amp; Background</t>
        </is>
      </c>
      <c r="D8" s="11" t="inlineStr">
        <is>
          <t>What makes you unique compared to other candidates?</t>
        </is>
      </c>
      <c r="E8" s="17" t="inlineStr">
        <is>
          <t>Very High</t>
        </is>
      </c>
      <c r="F8" s="11" t="inlineStr">
        <is>
          <t>1 specific differentiator → proof → relevance to role.</t>
        </is>
      </c>
      <c r="G8" s="11" t="n">
        <v>60</v>
      </c>
      <c r="H8" s="11" t="inlineStr">
        <is>
          <t>Tests confidence and self-positioning.</t>
        </is>
      </c>
    </row>
    <row r="9" ht="40" customHeight="1">
      <c r="A9" s="5" t="n">
        <v>5</v>
      </c>
      <c r="B9" s="6" t="n">
        <v>1</v>
      </c>
      <c r="C9" s="7" t="inlineStr">
        <is>
          <t>Identity &amp; Background</t>
        </is>
      </c>
      <c r="D9" s="7" t="inlineStr">
        <is>
          <t>Tell me something that's not on your resume</t>
        </is>
      </c>
      <c r="E9" s="20" t="inlineStr">
        <is>
          <t>High</t>
        </is>
      </c>
      <c r="F9" s="7" t="inlineStr">
        <is>
          <t>Relevant personal project, skill, or insight. Keep professional.</t>
        </is>
      </c>
      <c r="G9" s="7" t="n">
        <v>60</v>
      </c>
      <c r="H9" s="7" t="inlineStr">
        <is>
          <t>Used to test personality fit and hidden depth.</t>
        </is>
      </c>
    </row>
    <row r="10" ht="22" customHeight="1">
      <c r="A10" s="25" t="inlineStr">
        <is>
          <t xml:space="preserve">  CATEGORY 2 — BEHAVIOURAL  (15 questions)</t>
        </is>
      </c>
    </row>
    <row r="11" ht="40" customHeight="1">
      <c r="A11" s="5" t="n">
        <v>6</v>
      </c>
      <c r="B11" s="6" t="n">
        <v>2</v>
      </c>
      <c r="C11" s="7" t="inlineStr">
        <is>
          <t>Behavioural</t>
        </is>
      </c>
      <c r="D11" s="7" t="inlineStr">
        <is>
          <t>Tell me about a time you showed leadership</t>
        </is>
      </c>
      <c r="E11" s="8" t="inlineStr">
        <is>
          <t>Universal</t>
        </is>
      </c>
      <c r="F11" s="7" t="inlineStr">
        <is>
          <t>STAR — Action section must show personal initiative, not team.</t>
        </is>
      </c>
      <c r="G11" s="7" t="n">
        <v>120</v>
      </c>
      <c r="H11" s="7" t="inlineStr">
        <is>
          <t>Top behavioural question across all industries and roles.</t>
        </is>
      </c>
    </row>
    <row r="12" ht="40" customHeight="1">
      <c r="A12" s="9" t="n">
        <v>7</v>
      </c>
      <c r="B12" s="10" t="n">
        <v>2</v>
      </c>
      <c r="C12" s="11" t="inlineStr">
        <is>
          <t>Behavioural</t>
        </is>
      </c>
      <c r="D12" s="11" t="inlineStr">
        <is>
          <t>Describe a time you dealt with a difficult situation</t>
        </is>
      </c>
      <c r="E12" s="8" t="inlineStr">
        <is>
          <t>Universal</t>
        </is>
      </c>
      <c r="F12" s="11" t="inlineStr">
        <is>
          <t>STAR — emphasise your personal action, not the situation itself.</t>
        </is>
      </c>
      <c r="G12" s="11" t="n">
        <v>120</v>
      </c>
      <c r="H12" s="11" t="inlineStr">
        <is>
          <t>Appears in virtually every behavioural interview.</t>
        </is>
      </c>
    </row>
    <row r="13" ht="40" customHeight="1">
      <c r="A13" s="5" t="n">
        <v>8</v>
      </c>
      <c r="B13" s="6" t="n">
        <v>2</v>
      </c>
      <c r="C13" s="7" t="inlineStr">
        <is>
          <t>Behavioural</t>
        </is>
      </c>
      <c r="D13" s="7" t="inlineStr">
        <is>
          <t>Tell me about a time you failed</t>
        </is>
      </c>
      <c r="E13" s="17" t="inlineStr">
        <is>
          <t>Very High</t>
        </is>
      </c>
      <c r="F13" s="7" t="inlineStr">
        <is>
          <t>STAR — Result must be the LEARNING. Be honest, not defensive.</t>
        </is>
      </c>
      <c r="G13" s="7" t="n">
        <v>90</v>
      </c>
      <c r="H13" s="7" t="inlineStr">
        <is>
          <t>Tests self-awareness and growth mindset.</t>
        </is>
      </c>
    </row>
    <row r="14" ht="40" customHeight="1">
      <c r="A14" s="9" t="n">
        <v>9</v>
      </c>
      <c r="B14" s="10" t="n">
        <v>2</v>
      </c>
      <c r="C14" s="11" t="inlineStr">
        <is>
          <t>Behavioural</t>
        </is>
      </c>
      <c r="D14" s="11" t="inlineStr">
        <is>
          <t>Tell me about a time you worked in a team</t>
        </is>
      </c>
      <c r="E14" s="17" t="inlineStr">
        <is>
          <t>Very High</t>
        </is>
      </c>
      <c r="F14" s="11" t="inlineStr">
        <is>
          <t>STAR — distinguish your role from the team role clearly.</t>
        </is>
      </c>
      <c r="G14" s="11" t="n">
        <v>90</v>
      </c>
      <c r="H14" s="11" t="inlineStr">
        <is>
          <t>Cross-industry. Tests collaboration and communication.</t>
        </is>
      </c>
    </row>
    <row r="15" ht="40" customHeight="1">
      <c r="A15" s="5" t="n">
        <v>10</v>
      </c>
      <c r="B15" s="6" t="n">
        <v>2</v>
      </c>
      <c r="C15" s="7" t="inlineStr">
        <is>
          <t>Behavioural</t>
        </is>
      </c>
      <c r="D15" s="7" t="inlineStr">
        <is>
          <t>Describe a conflict with a coworker and how you resolved it</t>
        </is>
      </c>
      <c r="E15" s="17" t="inlineStr">
        <is>
          <t>Very High</t>
        </is>
      </c>
      <c r="F15" s="7" t="inlineStr">
        <is>
          <t>STAR — show empathy AND resolution. No blame. Focus on outcome.</t>
        </is>
      </c>
      <c r="G15" s="7" t="n">
        <v>90</v>
      </c>
      <c r="H15" s="7" t="inlineStr">
        <is>
          <t>Directly tests emotional intelligence.</t>
        </is>
      </c>
    </row>
    <row r="16" ht="40" customHeight="1">
      <c r="A16" s="9" t="n">
        <v>11</v>
      </c>
      <c r="B16" s="10" t="n">
        <v>2</v>
      </c>
      <c r="C16" s="11" t="inlineStr">
        <is>
          <t>Behavioural</t>
        </is>
      </c>
      <c r="D16" s="11" t="inlineStr">
        <is>
          <t>Tell me about a time you met a tight deadline</t>
        </is>
      </c>
      <c r="E16" s="17" t="inlineStr">
        <is>
          <t>Very High</t>
        </is>
      </c>
      <c r="F16" s="11" t="inlineStr">
        <is>
          <t>STAR — show prioritisation and execution under pressure.</t>
        </is>
      </c>
      <c r="G16" s="11" t="n">
        <v>90</v>
      </c>
      <c r="H16" s="11" t="inlineStr">
        <is>
          <t>Very common in fast-paced roles.</t>
        </is>
      </c>
    </row>
    <row r="17" ht="40" customHeight="1">
      <c r="A17" s="5" t="n">
        <v>12</v>
      </c>
      <c r="B17" s="6" t="n">
        <v>2</v>
      </c>
      <c r="C17" s="7" t="inlineStr">
        <is>
          <t>Behavioural</t>
        </is>
      </c>
      <c r="D17" s="7" t="inlineStr">
        <is>
          <t>Give me an example of a time you showed initiative</t>
        </is>
      </c>
      <c r="E17" s="20" t="inlineStr">
        <is>
          <t>High</t>
        </is>
      </c>
      <c r="F17" s="7" t="inlineStr">
        <is>
          <t>STAR — Action must be self-directed, not assigned.</t>
        </is>
      </c>
      <c r="G17" s="7" t="n">
        <v>90</v>
      </c>
      <c r="H17" s="7" t="inlineStr">
        <is>
          <t>Tests proactiveness and ownership.</t>
        </is>
      </c>
    </row>
    <row r="18" ht="40" customHeight="1">
      <c r="A18" s="9" t="n">
        <v>13</v>
      </c>
      <c r="B18" s="10" t="n">
        <v>2</v>
      </c>
      <c r="C18" s="11" t="inlineStr">
        <is>
          <t>Behavioural</t>
        </is>
      </c>
      <c r="D18" s="11" t="inlineStr">
        <is>
          <t>Tell me about a time you had to adapt to a major change</t>
        </is>
      </c>
      <c r="E18" s="20" t="inlineStr">
        <is>
          <t>High</t>
        </is>
      </c>
      <c r="F18" s="11" t="inlineStr">
        <is>
          <t>STAR — show flexibility and positive framing of the change.</t>
        </is>
      </c>
      <c r="G18" s="11" t="n">
        <v>90</v>
      </c>
      <c r="H18" s="11" t="inlineStr">
        <is>
          <t>Common post-2020 given remote/hybrid shifts.</t>
        </is>
      </c>
    </row>
    <row r="19" ht="40" customHeight="1">
      <c r="A19" s="5" t="n">
        <v>14</v>
      </c>
      <c r="B19" s="6" t="n">
        <v>2</v>
      </c>
      <c r="C19" s="7" t="inlineStr">
        <is>
          <t>Behavioural</t>
        </is>
      </c>
      <c r="D19" s="7" t="inlineStr">
        <is>
          <t>Describe a time you disagreed with your manager</t>
        </is>
      </c>
      <c r="E19" s="20" t="inlineStr">
        <is>
          <t>High</t>
        </is>
      </c>
      <c r="F19" s="7" t="inlineStr">
        <is>
          <t>STAR — show respectful pushback AND ultimate alignment.</t>
        </is>
      </c>
      <c r="G19" s="7" t="n">
        <v>90</v>
      </c>
      <c r="H19" s="7" t="inlineStr">
        <is>
          <t>Tests professional maturity.</t>
        </is>
      </c>
    </row>
    <row r="20" ht="40" customHeight="1">
      <c r="A20" s="9" t="n">
        <v>15</v>
      </c>
      <c r="B20" s="10" t="n">
        <v>2</v>
      </c>
      <c r="C20" s="11" t="inlineStr">
        <is>
          <t>Behavioural</t>
        </is>
      </c>
      <c r="D20" s="11" t="inlineStr">
        <is>
          <t>Tell me about your biggest professional achievement</t>
        </is>
      </c>
      <c r="E20" s="20" t="inlineStr">
        <is>
          <t>High</t>
        </is>
      </c>
      <c r="F20" s="11" t="inlineStr">
        <is>
          <t>STAR — Result must be quantified. Use 'I', not 'we'.</t>
        </is>
      </c>
      <c r="G20" s="11" t="n">
        <v>90</v>
      </c>
      <c r="H20" s="11" t="inlineStr">
        <is>
          <t>Strong differentiator question. Most candidates under-prepare.</t>
        </is>
      </c>
    </row>
    <row r="21" ht="40" customHeight="1">
      <c r="A21" s="5" t="n">
        <v>16</v>
      </c>
      <c r="B21" s="6" t="n">
        <v>2</v>
      </c>
      <c r="C21" s="7" t="inlineStr">
        <is>
          <t>Behavioural</t>
        </is>
      </c>
      <c r="D21" s="7" t="inlineStr">
        <is>
          <t>Tell me about a time you made a mistake</t>
        </is>
      </c>
      <c r="E21" s="20" t="inlineStr">
        <is>
          <t>High</t>
        </is>
      </c>
      <c r="F21" s="7" t="inlineStr">
        <is>
          <t>STAR — Result is the action taken to fix it + learning.</t>
        </is>
      </c>
      <c r="G21" s="7" t="n">
        <v>90</v>
      </c>
      <c r="H21" s="7" t="inlineStr">
        <is>
          <t>Sister question to 'Tell me about a failure.'</t>
        </is>
      </c>
    </row>
    <row r="22" ht="40" customHeight="1">
      <c r="A22" s="9" t="n">
        <v>17</v>
      </c>
      <c r="B22" s="10" t="n">
        <v>2</v>
      </c>
      <c r="C22" s="11" t="inlineStr">
        <is>
          <t>Behavioural</t>
        </is>
      </c>
      <c r="D22" s="11" t="inlineStr">
        <is>
          <t>Describe a time you had to learn something quickly</t>
        </is>
      </c>
      <c r="E22" s="20" t="inlineStr">
        <is>
          <t>High</t>
        </is>
      </c>
      <c r="F22" s="11" t="inlineStr">
        <is>
          <t>STAR — Show learning process, not just outcome.</t>
        </is>
      </c>
      <c r="G22" s="11" t="n">
        <v>90</v>
      </c>
      <c r="H22" s="11" t="inlineStr">
        <is>
          <t>Common in dynamic or fast-growth companies.</t>
        </is>
      </c>
    </row>
    <row r="23" ht="40" customHeight="1">
      <c r="A23" s="5" t="n">
        <v>18</v>
      </c>
      <c r="B23" s="6" t="n">
        <v>2</v>
      </c>
      <c r="C23" s="7" t="inlineStr">
        <is>
          <t>Behavioural</t>
        </is>
      </c>
      <c r="D23" s="7" t="inlineStr">
        <is>
          <t>Tell me about a time you influenced without authority</t>
        </is>
      </c>
      <c r="E23" s="21" t="inlineStr">
        <is>
          <t>Medium</t>
        </is>
      </c>
      <c r="F23" s="7" t="inlineStr">
        <is>
          <t>STAR — Action shows persuasion, data use, and relationship building.</t>
        </is>
      </c>
      <c r="G23" s="7" t="n">
        <v>90</v>
      </c>
      <c r="H23" s="7" t="inlineStr">
        <is>
          <t>Common for senior or cross-functional roles.</t>
        </is>
      </c>
    </row>
    <row r="24" ht="40" customHeight="1">
      <c r="A24" s="9" t="n">
        <v>19</v>
      </c>
      <c r="B24" s="10" t="n">
        <v>2</v>
      </c>
      <c r="C24" s="11" t="inlineStr">
        <is>
          <t>Behavioural</t>
        </is>
      </c>
      <c r="D24" s="11" t="inlineStr">
        <is>
          <t>Describe a time you went above and beyond</t>
        </is>
      </c>
      <c r="E24" s="21" t="inlineStr">
        <is>
          <t>Medium</t>
        </is>
      </c>
      <c r="F24" s="11" t="inlineStr">
        <is>
          <t>STAR — Result shows self-motivation, not just compliance.</t>
        </is>
      </c>
      <c r="G24" s="11" t="n">
        <v>90</v>
      </c>
      <c r="H24" s="11" t="inlineStr">
        <is>
          <t>Tests discretionary effort and ownership culture fit.</t>
        </is>
      </c>
    </row>
    <row r="25" ht="40" customHeight="1">
      <c r="A25" s="5" t="n">
        <v>20</v>
      </c>
      <c r="B25" s="6" t="n">
        <v>2</v>
      </c>
      <c r="C25" s="7" t="inlineStr">
        <is>
          <t>Behavioural</t>
        </is>
      </c>
      <c r="D25" s="7" t="inlineStr">
        <is>
          <t>Tell me about a time you had to manage multiple priorities</t>
        </is>
      </c>
      <c r="E25" s="21" t="inlineStr">
        <is>
          <t>Medium</t>
        </is>
      </c>
      <c r="F25" s="7" t="inlineStr">
        <is>
          <t>STAR — Action shows explicit prioritisation framework.</t>
        </is>
      </c>
      <c r="G25" s="7" t="n">
        <v>90</v>
      </c>
      <c r="H25" s="7" t="inlineStr">
        <is>
          <t>Tests time management and decision-making.</t>
        </is>
      </c>
    </row>
    <row r="26" ht="22" customHeight="1">
      <c r="A26" s="26" t="inlineStr">
        <is>
          <t xml:space="preserve">  CATEGORY 3 — STRENGTHS &amp; WEAKNESSES  (7 questions)</t>
        </is>
      </c>
    </row>
    <row r="27" ht="40" customHeight="1">
      <c r="A27" s="5" t="n">
        <v>21</v>
      </c>
      <c r="B27" s="6" t="n">
        <v>3</v>
      </c>
      <c r="C27" s="7" t="inlineStr">
        <is>
          <t>Strengths &amp; Weaknesses</t>
        </is>
      </c>
      <c r="D27" s="7" t="inlineStr">
        <is>
          <t>What is your greatest strength?</t>
        </is>
      </c>
      <c r="E27" s="8" t="inlineStr">
        <is>
          <t>Universal</t>
        </is>
      </c>
      <c r="F27" s="7" t="inlineStr">
        <is>
          <t>Name it → Prove it (one example) → Connect it to this role.</t>
        </is>
      </c>
      <c r="G27" s="7" t="n">
        <v>60</v>
      </c>
      <c r="H27" s="7" t="inlineStr">
        <is>
          <t>Asked in ~90% of interviews. Most candidates give generic answers.</t>
        </is>
      </c>
    </row>
    <row r="28" ht="40" customHeight="1">
      <c r="A28" s="9" t="n">
        <v>22</v>
      </c>
      <c r="B28" s="10" t="n">
        <v>3</v>
      </c>
      <c r="C28" s="11" t="inlineStr">
        <is>
          <t>Strengths &amp; Weaknesses</t>
        </is>
      </c>
      <c r="D28" s="11" t="inlineStr">
        <is>
          <t>What is your greatest weakness?</t>
        </is>
      </c>
      <c r="E28" s="8" t="inlineStr">
        <is>
          <t>Universal</t>
        </is>
      </c>
      <c r="F28" s="11" t="inlineStr">
        <is>
          <t>Name real weakness → Show awareness → Show action → Show progress.</t>
        </is>
      </c>
      <c r="G28" s="11" t="n">
        <v>60</v>
      </c>
      <c r="H28" s="11" t="inlineStr">
        <is>
          <t>Most mishandled question. 'I'm a perfectionist' = instant red flag.</t>
        </is>
      </c>
    </row>
    <row r="29" ht="40" customHeight="1">
      <c r="A29" s="5" t="n">
        <v>23</v>
      </c>
      <c r="B29" s="6" t="n">
        <v>3</v>
      </c>
      <c r="C29" s="7" t="inlineStr">
        <is>
          <t>Strengths &amp; Weaknesses</t>
        </is>
      </c>
      <c r="D29" s="7" t="inlineStr">
        <is>
          <t>What are you working on improving right now?</t>
        </is>
      </c>
      <c r="E29" s="17" t="inlineStr">
        <is>
          <t>Very High</t>
        </is>
      </c>
      <c r="F29" s="7" t="inlineStr">
        <is>
          <t>Name weakness honestly → Specific action you're taking today.</t>
        </is>
      </c>
      <c r="G29" s="7" t="n">
        <v>60</v>
      </c>
      <c r="H29" s="7" t="inlineStr">
        <is>
          <t>Softer version of weakness question. Still needs honesty.</t>
        </is>
      </c>
    </row>
    <row r="30" ht="40" customHeight="1">
      <c r="A30" s="9" t="n">
        <v>24</v>
      </c>
      <c r="B30" s="10" t="n">
        <v>3</v>
      </c>
      <c r="C30" s="11" t="inlineStr">
        <is>
          <t>Strengths &amp; Weaknesses</t>
        </is>
      </c>
      <c r="D30" s="11" t="inlineStr">
        <is>
          <t>How would your manager describe you?</t>
        </is>
      </c>
      <c r="E30" s="17" t="inlineStr">
        <is>
          <t>Very High</t>
        </is>
      </c>
      <c r="F30" s="11" t="inlineStr">
        <is>
          <t>Name 2–3 traits → one evidence example each → add self-aware note.</t>
        </is>
      </c>
      <c r="G30" s="11" t="n">
        <v>60</v>
      </c>
      <c r="H30" s="11" t="inlineStr">
        <is>
          <t>Tests self-awareness from external perspective.</t>
        </is>
      </c>
    </row>
    <row r="31" ht="40" customHeight="1">
      <c r="A31" s="5" t="n">
        <v>25</v>
      </c>
      <c r="B31" s="6" t="n">
        <v>3</v>
      </c>
      <c r="C31" s="7" t="inlineStr">
        <is>
          <t>Strengths &amp; Weaknesses</t>
        </is>
      </c>
      <c r="D31" s="7" t="inlineStr">
        <is>
          <t>How would your colleagues describe you?</t>
        </is>
      </c>
      <c r="E31" s="20" t="inlineStr">
        <is>
          <t>High</t>
        </is>
      </c>
      <c r="F31" s="7" t="inlineStr">
        <is>
          <t>Name 2–3 traits → peer-relevant examples → honest self-reflection.</t>
        </is>
      </c>
      <c r="G31" s="7" t="n">
        <v>60</v>
      </c>
      <c r="H31" s="7" t="inlineStr">
        <is>
          <t>Tests peer relationships and self-image accuracy.</t>
        </is>
      </c>
    </row>
    <row r="32" ht="40" customHeight="1">
      <c r="A32" s="9" t="n">
        <v>26</v>
      </c>
      <c r="B32" s="10" t="n">
        <v>3</v>
      </c>
      <c r="C32" s="11" t="inlineStr">
        <is>
          <t>Strengths &amp; Weaknesses</t>
        </is>
      </c>
      <c r="D32" s="11" t="inlineStr">
        <is>
          <t>What skills are you still developing?</t>
        </is>
      </c>
      <c r="E32" s="20" t="inlineStr">
        <is>
          <t>High</t>
        </is>
      </c>
      <c r="F32" s="11" t="inlineStr">
        <is>
          <t>Name specifically → action you're taking → evidence of progress.</t>
        </is>
      </c>
      <c r="G32" s="11" t="n">
        <v>60</v>
      </c>
      <c r="H32" s="11" t="inlineStr">
        <is>
          <t>Professional growth question. 'None' is a wrong answer.</t>
        </is>
      </c>
    </row>
    <row r="33" ht="40" customHeight="1">
      <c r="A33" s="5" t="n">
        <v>27</v>
      </c>
      <c r="B33" s="6" t="n">
        <v>3</v>
      </c>
      <c r="C33" s="7" t="inlineStr">
        <is>
          <t>Strengths &amp; Weaknesses</t>
        </is>
      </c>
      <c r="D33" s="7" t="inlineStr">
        <is>
          <t>What do you consider your best professional skill?</t>
        </is>
      </c>
      <c r="E33" s="21" t="inlineStr">
        <is>
          <t>Medium</t>
        </is>
      </c>
      <c r="F33" s="7" t="inlineStr">
        <is>
          <t>Name → Evidence (metrics) → Why it matters for this role.</t>
        </is>
      </c>
      <c r="G33" s="7" t="n">
        <v>60</v>
      </c>
      <c r="H33" s="7" t="inlineStr">
        <is>
          <t>More specific than 'greatest strength.'</t>
        </is>
      </c>
    </row>
    <row r="34" ht="22" customHeight="1">
      <c r="A34" s="27" t="inlineStr">
        <is>
          <t xml:space="preserve">  CATEGORY 4 — MOTIVATION &amp; FIT  (9 questions)</t>
        </is>
      </c>
    </row>
    <row r="35" ht="40" customHeight="1">
      <c r="A35" s="5" t="n">
        <v>28</v>
      </c>
      <c r="B35" s="6" t="n">
        <v>4</v>
      </c>
      <c r="C35" s="7" t="inlineStr">
        <is>
          <t>Motivation &amp; Fit</t>
        </is>
      </c>
      <c r="D35" s="7" t="inlineStr">
        <is>
          <t>Why do you want to work here?</t>
        </is>
      </c>
      <c r="E35" s="8" t="inlineStr">
        <is>
          <t>Universal</t>
        </is>
      </c>
      <c r="F35" s="7" t="inlineStr">
        <is>
          <t>Them (specific research) → You (matching skill) → Together (goal).</t>
        </is>
      </c>
      <c r="G35" s="7" t="n">
        <v>60</v>
      </c>
      <c r="H35" s="7" t="inlineStr">
        <is>
          <t>Zero tolerance for generic answers. Research is mandatory.</t>
        </is>
      </c>
    </row>
    <row r="36" ht="40" customHeight="1">
      <c r="A36" s="9" t="n">
        <v>29</v>
      </c>
      <c r="B36" s="10" t="n">
        <v>4</v>
      </c>
      <c r="C36" s="11" t="inlineStr">
        <is>
          <t>Motivation &amp; Fit</t>
        </is>
      </c>
      <c r="D36" s="11" t="inlineStr">
        <is>
          <t>Why are you interested in this role?</t>
        </is>
      </c>
      <c r="E36" s="8" t="inlineStr">
        <is>
          <t>Universal</t>
        </is>
      </c>
      <c r="F36" s="11" t="inlineStr">
        <is>
          <t>Them → You → Together. Tie role to your development goals.</t>
        </is>
      </c>
      <c r="G36" s="11" t="n">
        <v>60</v>
      </c>
      <c r="H36" s="11" t="inlineStr">
        <is>
          <t>Distinct from 'why this company' — focus on the JD specifically.</t>
        </is>
      </c>
    </row>
    <row r="37" ht="40" customHeight="1">
      <c r="A37" s="5" t="n">
        <v>30</v>
      </c>
      <c r="B37" s="6" t="n">
        <v>4</v>
      </c>
      <c r="C37" s="7" t="inlineStr">
        <is>
          <t>Motivation &amp; Fit</t>
        </is>
      </c>
      <c r="D37" s="7" t="inlineStr">
        <is>
          <t>Why should we hire you?</t>
        </is>
      </c>
      <c r="E37" s="17" t="inlineStr">
        <is>
          <t>Very High</t>
        </is>
      </c>
      <c r="F37" s="7" t="inlineStr">
        <is>
          <t>3 specific reasons with evidence. Direct, confident, no hedging.</t>
        </is>
      </c>
      <c r="G37" s="7" t="n">
        <v>60</v>
      </c>
      <c r="H37" s="7" t="inlineStr">
        <is>
          <t>Tests confidence and self-positioning. Don't be vague.</t>
        </is>
      </c>
    </row>
    <row r="38" ht="40" customHeight="1">
      <c r="A38" s="9" t="n">
        <v>31</v>
      </c>
      <c r="B38" s="10" t="n">
        <v>4</v>
      </c>
      <c r="C38" s="11" t="inlineStr">
        <is>
          <t>Motivation &amp; Fit</t>
        </is>
      </c>
      <c r="D38" s="11" t="inlineStr">
        <is>
          <t>Why are you leaving your current job?</t>
        </is>
      </c>
      <c r="E38" s="17" t="inlineStr">
        <is>
          <t>Very High</t>
        </is>
      </c>
      <c r="F38" s="11" t="inlineStr">
        <is>
          <t>Forward-looking and positive only. NEVER badmouth. Growth framing.</t>
        </is>
      </c>
      <c r="G38" s="11" t="n">
        <v>60</v>
      </c>
      <c r="H38" s="11" t="inlineStr">
        <is>
          <t>Trap question. Any negativity about previous employer = rejection.</t>
        </is>
      </c>
    </row>
    <row r="39" ht="40" customHeight="1">
      <c r="A39" s="5" t="n">
        <v>32</v>
      </c>
      <c r="B39" s="6" t="n">
        <v>4</v>
      </c>
      <c r="C39" s="7" t="inlineStr">
        <is>
          <t>Motivation &amp; Fit</t>
        </is>
      </c>
      <c r="D39" s="7" t="inlineStr">
        <is>
          <t>What do you know about our company?</t>
        </is>
      </c>
      <c r="E39" s="17" t="inlineStr">
        <is>
          <t>Very High</t>
        </is>
      </c>
      <c r="F39" s="7" t="inlineStr">
        <is>
          <t>3 specific facts (product, mission, recent news) + why they matter.</t>
        </is>
      </c>
      <c r="G39" s="7" t="n">
        <v>60</v>
      </c>
      <c r="H39" s="7" t="inlineStr">
        <is>
          <t>Research question. Blanks = instant disqualification.</t>
        </is>
      </c>
    </row>
    <row r="40" ht="40" customHeight="1">
      <c r="A40" s="9" t="n">
        <v>33</v>
      </c>
      <c r="B40" s="10" t="n">
        <v>4</v>
      </c>
      <c r="C40" s="11" t="inlineStr">
        <is>
          <t>Motivation &amp; Fit</t>
        </is>
      </c>
      <c r="D40" s="11" t="inlineStr">
        <is>
          <t>What attracted you to this industry?</t>
        </is>
      </c>
      <c r="E40" s="20" t="inlineStr">
        <is>
          <t>High</t>
        </is>
      </c>
      <c r="F40" s="11" t="inlineStr">
        <is>
          <t>Personal story → professional alignment → why now.</t>
        </is>
      </c>
      <c r="G40" s="11" t="n">
        <v>60</v>
      </c>
      <c r="H40" s="11" t="inlineStr">
        <is>
          <t>Tests genuine motivation vs opportunistic application.</t>
        </is>
      </c>
    </row>
    <row r="41" ht="40" customHeight="1">
      <c r="A41" s="5" t="n">
        <v>34</v>
      </c>
      <c r="B41" s="6" t="n">
        <v>4</v>
      </c>
      <c r="C41" s="7" t="inlineStr">
        <is>
          <t>Motivation &amp; Fit</t>
        </is>
      </c>
      <c r="D41" s="7" t="inlineStr">
        <is>
          <t>How does this role align with your career goals?</t>
        </is>
      </c>
      <c r="E41" s="20" t="inlineStr">
        <is>
          <t>High</t>
        </is>
      </c>
      <c r="F41" s="7" t="inlineStr">
        <is>
          <t>Them → You → Together. Specific, not generic.</t>
        </is>
      </c>
      <c r="G41" s="7" t="n">
        <v>60</v>
      </c>
      <c r="H41" s="7" t="inlineStr">
        <is>
          <t>Tests role fit and longevity signal.</t>
        </is>
      </c>
    </row>
    <row r="42" ht="40" customHeight="1">
      <c r="A42" s="9" t="n">
        <v>35</v>
      </c>
      <c r="B42" s="10" t="n">
        <v>4</v>
      </c>
      <c r="C42" s="11" t="inlineStr">
        <is>
          <t>Motivation &amp; Fit</t>
        </is>
      </c>
      <c r="D42" s="11" t="inlineStr">
        <is>
          <t>What type of work environment do you thrive in?</t>
        </is>
      </c>
      <c r="E42" s="20" t="inlineStr">
        <is>
          <t>High</t>
        </is>
      </c>
      <c r="F42" s="11" t="inlineStr">
        <is>
          <t>Describe environment → match to what you know about this company.</t>
        </is>
      </c>
      <c r="G42" s="11" t="n">
        <v>60</v>
      </c>
      <c r="H42" s="11" t="inlineStr">
        <is>
          <t>Culture fit screening question.</t>
        </is>
      </c>
    </row>
    <row r="43" ht="40" customHeight="1">
      <c r="A43" s="5" t="n">
        <v>36</v>
      </c>
      <c r="B43" s="6" t="n">
        <v>4</v>
      </c>
      <c r="C43" s="7" t="inlineStr">
        <is>
          <t>Motivation &amp; Fit</t>
        </is>
      </c>
      <c r="D43" s="7" t="inlineStr">
        <is>
          <t>What motivates you at work?</t>
        </is>
      </c>
      <c r="E43" s="20" t="inlineStr">
        <is>
          <t>High</t>
        </is>
      </c>
      <c r="F43" s="7" t="inlineStr">
        <is>
          <t>Specific intrinsic motivators → evidence → tie to role.</t>
        </is>
      </c>
      <c r="G43" s="7" t="n">
        <v>60</v>
      </c>
      <c r="H43" s="7" t="inlineStr">
        <is>
          <t>Tests alignment. 'Money' alone = red flag.</t>
        </is>
      </c>
    </row>
    <row r="44" ht="22" customHeight="1">
      <c r="A44" s="28" t="inlineStr">
        <is>
          <t xml:space="preserve">  CATEGORY 5 — FUTURE &amp; AMBITION  (7 questions)</t>
        </is>
      </c>
    </row>
    <row r="45" ht="40" customHeight="1">
      <c r="A45" s="5" t="n">
        <v>37</v>
      </c>
      <c r="B45" s="6" t="n">
        <v>5</v>
      </c>
      <c r="C45" s="7" t="inlineStr">
        <is>
          <t>Future &amp; Ambition</t>
        </is>
      </c>
      <c r="D45" s="7" t="inlineStr">
        <is>
          <t>Where do you see yourself in 5 years?</t>
        </is>
      </c>
      <c r="E45" s="8" t="inlineStr">
        <is>
          <t>Universal</t>
        </is>
      </c>
      <c r="F45" s="7" t="inlineStr">
        <is>
          <t>Near-term (this role) → Long-term (direction) → Bridge to this job.</t>
        </is>
      </c>
      <c r="G45" s="7" t="n">
        <v>60</v>
      </c>
      <c r="H45" s="7" t="inlineStr">
        <is>
          <t>Loyalty and ambition test. Don't say CEO. Don't say 'I don't know'.</t>
        </is>
      </c>
    </row>
    <row r="46" ht="40" customHeight="1">
      <c r="A46" s="9" t="n">
        <v>38</v>
      </c>
      <c r="B46" s="10" t="n">
        <v>5</v>
      </c>
      <c r="C46" s="11" t="inlineStr">
        <is>
          <t>Future &amp; Ambition</t>
        </is>
      </c>
      <c r="D46" s="11" t="inlineStr">
        <is>
          <t>What are your long-term career goals?</t>
        </is>
      </c>
      <c r="E46" s="17" t="inlineStr">
        <is>
          <t>Very High</t>
        </is>
      </c>
      <c r="F46" s="11" t="inlineStr">
        <is>
          <t>Near-term mastery → long-term direction → why this role bridges them.</t>
        </is>
      </c>
      <c r="G46" s="11" t="n">
        <v>60</v>
      </c>
      <c r="H46" s="11" t="inlineStr">
        <is>
          <t>Show ambition without implying you'll leave in 6 months.</t>
        </is>
      </c>
    </row>
    <row r="47" ht="40" customHeight="1">
      <c r="A47" s="5" t="n">
        <v>39</v>
      </c>
      <c r="B47" s="6" t="n">
        <v>5</v>
      </c>
      <c r="C47" s="7" t="inlineStr">
        <is>
          <t>Future &amp; Ambition</t>
        </is>
      </c>
      <c r="D47" s="7" t="inlineStr">
        <is>
          <t>Where do you see yourself in 10 years?</t>
        </is>
      </c>
      <c r="E47" s="20" t="inlineStr">
        <is>
          <t>High</t>
        </is>
      </c>
      <c r="F47" s="7" t="inlineStr">
        <is>
          <t>Broader directional vision → flexibility acknowledged → current focus.</t>
        </is>
      </c>
      <c r="G47" s="7" t="n">
        <v>60</v>
      </c>
      <c r="H47" s="7" t="inlineStr">
        <is>
          <t>Less common but used for senior/management roles.</t>
        </is>
      </c>
    </row>
    <row r="48" ht="40" customHeight="1">
      <c r="A48" s="9" t="n">
        <v>40</v>
      </c>
      <c r="B48" s="10" t="n">
        <v>5</v>
      </c>
      <c r="C48" s="11" t="inlineStr">
        <is>
          <t>Future &amp; Ambition</t>
        </is>
      </c>
      <c r="D48" s="11" t="inlineStr">
        <is>
          <t>What does success look like to you?</t>
        </is>
      </c>
      <c r="E48" s="20" t="inlineStr">
        <is>
          <t>High</t>
        </is>
      </c>
      <c r="F48" s="11" t="inlineStr">
        <is>
          <t>Role-specific 90-day success → longer-term impact → personal values.</t>
        </is>
      </c>
      <c r="G48" s="11" t="n">
        <v>60</v>
      </c>
      <c r="H48" s="11" t="inlineStr">
        <is>
          <t>Tests ambition alignment with company culture.</t>
        </is>
      </c>
    </row>
    <row r="49" ht="40" customHeight="1">
      <c r="A49" s="5" t="n">
        <v>41</v>
      </c>
      <c r="B49" s="6" t="n">
        <v>5</v>
      </c>
      <c r="C49" s="7" t="inlineStr">
        <is>
          <t>Future &amp; Ambition</t>
        </is>
      </c>
      <c r="D49" s="7" t="inlineStr">
        <is>
          <t>What are your salary expectations?</t>
        </is>
      </c>
      <c r="E49" s="20" t="inlineStr">
        <is>
          <t>High</t>
        </is>
      </c>
      <c r="F49" s="7" t="inlineStr">
        <is>
          <t>Research market → give range → show flexibility → anchor to value.</t>
        </is>
      </c>
      <c r="G49" s="7" t="n">
        <v>60</v>
      </c>
      <c r="H49" s="7" t="inlineStr">
        <is>
          <t>Pause → reframe → redirect. Never give a number without research.</t>
        </is>
      </c>
    </row>
    <row r="50" ht="40" customHeight="1">
      <c r="A50" s="9" t="n">
        <v>42</v>
      </c>
      <c r="B50" s="10" t="n">
        <v>5</v>
      </c>
      <c r="C50" s="11" t="inlineStr">
        <is>
          <t>Future &amp; Ambition</t>
        </is>
      </c>
      <c r="D50" s="11" t="inlineStr">
        <is>
          <t>Are you considering other offers?</t>
        </is>
      </c>
      <c r="E50" s="21" t="inlineStr">
        <is>
          <t>Medium</t>
        </is>
      </c>
      <c r="F50" s="11" t="inlineStr">
        <is>
          <t>Honest but measured. Use to signal demand without pressure.</t>
        </is>
      </c>
      <c r="G50" s="11" t="n">
        <v>45</v>
      </c>
      <c r="H50" s="11" t="inlineStr">
        <is>
          <t>Negotiation intelligence gathering question.</t>
        </is>
      </c>
    </row>
    <row r="51" ht="40" customHeight="1">
      <c r="A51" s="5" t="n">
        <v>43</v>
      </c>
      <c r="B51" s="6" t="n">
        <v>5</v>
      </c>
      <c r="C51" s="7" t="inlineStr">
        <is>
          <t>Future &amp; Ambition</t>
        </is>
      </c>
      <c r="D51" s="7" t="inlineStr">
        <is>
          <t>What would you do in the first 30/60/90 days?</t>
        </is>
      </c>
      <c r="E51" s="21" t="inlineStr">
        <is>
          <t>Medium</t>
        </is>
      </c>
      <c r="F51" s="7" t="inlineStr">
        <is>
          <t>Learn → Contribute → Lead. Specific, not vague platitudes.</t>
        </is>
      </c>
      <c r="G51" s="7" t="n">
        <v>90</v>
      </c>
      <c r="H51" s="7" t="inlineStr">
        <is>
          <t>Common for senior and management roles.</t>
        </is>
      </c>
    </row>
    <row r="52" ht="22" customHeight="1">
      <c r="A52" s="29" t="inlineStr">
        <is>
          <t xml:space="preserve">  CATEGORY 6 — SITUATIONAL  (10 questions)</t>
        </is>
      </c>
    </row>
    <row r="53" ht="40" customHeight="1">
      <c r="A53" s="5" t="n">
        <v>44</v>
      </c>
      <c r="B53" s="6" t="n">
        <v>6</v>
      </c>
      <c r="C53" s="7" t="inlineStr">
        <is>
          <t>Situational</t>
        </is>
      </c>
      <c r="D53" s="7" t="inlineStr">
        <is>
          <t>What would you do if you missed a deadline?</t>
        </is>
      </c>
      <c r="E53" s="17" t="inlineStr">
        <is>
          <t>Very High</t>
        </is>
      </c>
      <c r="F53" s="7" t="inlineStr">
        <is>
          <t>PACE — Prioritise (notify), Act (recover plan), Communicate, Evaluate.</t>
        </is>
      </c>
      <c r="G53" s="7" t="n">
        <v>90</v>
      </c>
      <c r="H53" s="7" t="inlineStr">
        <is>
          <t>Tests accountability and professional communication.</t>
        </is>
      </c>
    </row>
    <row r="54" ht="40" customHeight="1">
      <c r="A54" s="9" t="n">
        <v>45</v>
      </c>
      <c r="B54" s="10" t="n">
        <v>6</v>
      </c>
      <c r="C54" s="11" t="inlineStr">
        <is>
          <t>Situational</t>
        </is>
      </c>
      <c r="D54" s="11" t="inlineStr">
        <is>
          <t>How would you handle a difficult colleague?</t>
        </is>
      </c>
      <c r="E54" s="17" t="inlineStr">
        <is>
          <t>Very High</t>
        </is>
      </c>
      <c r="F54" s="11" t="inlineStr">
        <is>
          <t>PACE — empathy first, direct conversation, escalation as last resort.</t>
        </is>
      </c>
      <c r="G54" s="11" t="n">
        <v>90</v>
      </c>
      <c r="H54" s="11" t="inlineStr">
        <is>
          <t>Emotional intelligence test.</t>
        </is>
      </c>
    </row>
    <row r="55" ht="40" customHeight="1">
      <c r="A55" s="5" t="n">
        <v>46</v>
      </c>
      <c r="B55" s="6" t="n">
        <v>6</v>
      </c>
      <c r="C55" s="7" t="inlineStr">
        <is>
          <t>Situational</t>
        </is>
      </c>
      <c r="D55" s="7" t="inlineStr">
        <is>
          <t>What would you do if you disagreed with a decision?</t>
        </is>
      </c>
      <c r="E55" s="17" t="inlineStr">
        <is>
          <t>Very High</t>
        </is>
      </c>
      <c r="F55" s="7" t="inlineStr">
        <is>
          <t>PACE — raise concerns through right channel, commit once decided.</t>
        </is>
      </c>
      <c r="G55" s="7" t="n">
        <v>90</v>
      </c>
      <c r="H55" s="7" t="inlineStr">
        <is>
          <t>Tests professionalism and constructive dissent.</t>
        </is>
      </c>
    </row>
    <row r="56" ht="40" customHeight="1">
      <c r="A56" s="9" t="n">
        <v>47</v>
      </c>
      <c r="B56" s="10" t="n">
        <v>6</v>
      </c>
      <c r="C56" s="11" t="inlineStr">
        <is>
          <t>Situational</t>
        </is>
      </c>
      <c r="D56" s="11" t="inlineStr">
        <is>
          <t>How do you prioritise when everything feels urgent?</t>
        </is>
      </c>
      <c r="E56" s="20" t="inlineStr">
        <is>
          <t>High</t>
        </is>
      </c>
      <c r="F56" s="11" t="inlineStr">
        <is>
          <t>PACE — name your prioritisation framework explicitly.</t>
        </is>
      </c>
      <c r="G56" s="11" t="n">
        <v>90</v>
      </c>
      <c r="H56" s="11" t="inlineStr">
        <is>
          <t>Time management and decision-making.</t>
        </is>
      </c>
    </row>
    <row r="57" ht="40" customHeight="1">
      <c r="A57" s="5" t="n">
        <v>48</v>
      </c>
      <c r="B57" s="6" t="n">
        <v>6</v>
      </c>
      <c r="C57" s="7" t="inlineStr">
        <is>
          <t>Situational</t>
        </is>
      </c>
      <c r="D57" s="7" t="inlineStr">
        <is>
          <t>What would you do if you found an error in your manager's work?</t>
        </is>
      </c>
      <c r="E57" s="20" t="inlineStr">
        <is>
          <t>High</t>
        </is>
      </c>
      <c r="F57" s="7" t="inlineStr">
        <is>
          <t>PACE — verify, private conversation, solution-first approach.</t>
        </is>
      </c>
      <c r="G57" s="7" t="n">
        <v>90</v>
      </c>
      <c r="H57" s="7" t="inlineStr">
        <is>
          <t>Tests professional courage and tact.</t>
        </is>
      </c>
    </row>
    <row r="58" ht="40" customHeight="1">
      <c r="A58" s="9" t="n">
        <v>49</v>
      </c>
      <c r="B58" s="10" t="n">
        <v>6</v>
      </c>
      <c r="C58" s="11" t="inlineStr">
        <is>
          <t>Situational</t>
        </is>
      </c>
      <c r="D58" s="11" t="inlineStr">
        <is>
          <t>How would you approach a project you know nothing about?</t>
        </is>
      </c>
      <c r="E58" s="20" t="inlineStr">
        <is>
          <t>High</t>
        </is>
      </c>
      <c r="F58" s="11" t="inlineStr">
        <is>
          <t>PACE — research, ask questions, map stakeholders, deliver incrementally.</t>
        </is>
      </c>
      <c r="G58" s="11" t="n">
        <v>90</v>
      </c>
      <c r="H58" s="11" t="inlineStr">
        <is>
          <t>Tests resourcefulness and learning agility.</t>
        </is>
      </c>
    </row>
    <row r="59" ht="40" customHeight="1">
      <c r="A59" s="5" t="n">
        <v>50</v>
      </c>
      <c r="B59" s="6" t="n">
        <v>6</v>
      </c>
      <c r="C59" s="7" t="inlineStr">
        <is>
          <t>Situational</t>
        </is>
      </c>
      <c r="D59" s="7" t="inlineStr">
        <is>
          <t>What would you do if a client was unhappy with your work?</t>
        </is>
      </c>
      <c r="E59" s="20" t="inlineStr">
        <is>
          <t>High</t>
        </is>
      </c>
      <c r="F59" s="7" t="inlineStr">
        <is>
          <t>PACE — listen first, acknowledge, action plan, follow through.</t>
        </is>
      </c>
      <c r="G59" s="7" t="n">
        <v>90</v>
      </c>
      <c r="H59" s="7" t="inlineStr">
        <is>
          <t>Common for client-facing and service roles.</t>
        </is>
      </c>
    </row>
    <row r="60" ht="40" customHeight="1">
      <c r="A60" s="9" t="n">
        <v>51</v>
      </c>
      <c r="B60" s="10" t="n">
        <v>6</v>
      </c>
      <c r="C60" s="11" t="inlineStr">
        <is>
          <t>Situational</t>
        </is>
      </c>
      <c r="D60" s="11" t="inlineStr">
        <is>
          <t>How would you handle working with a difficult team member?</t>
        </is>
      </c>
      <c r="E60" s="20" t="inlineStr">
        <is>
          <t>High</t>
        </is>
      </c>
      <c r="F60" s="11" t="inlineStr">
        <is>
          <t>PACE — empathy, conversation, collaboration, escalation only if needed.</t>
        </is>
      </c>
      <c r="G60" s="11" t="n">
        <v>90</v>
      </c>
      <c r="H60" s="11" t="inlineStr">
        <is>
          <t>Tests collaboration under stress.</t>
        </is>
      </c>
    </row>
    <row r="61" ht="40" customHeight="1">
      <c r="A61" s="5" t="n">
        <v>52</v>
      </c>
      <c r="B61" s="6" t="n">
        <v>6</v>
      </c>
      <c r="C61" s="7" t="inlineStr">
        <is>
          <t>Situational</t>
        </is>
      </c>
      <c r="D61" s="7" t="inlineStr">
        <is>
          <t>What would you do if asked to do something unethical?</t>
        </is>
      </c>
      <c r="E61" s="21" t="inlineStr">
        <is>
          <t>Medium</t>
        </is>
      </c>
      <c r="F61" s="7" t="inlineStr">
        <is>
          <t>Pause → Reframe (clarify intent) → Decline professionally → Escalate.</t>
        </is>
      </c>
      <c r="G61" s="7" t="n">
        <v>90</v>
      </c>
      <c r="H61" s="7" t="inlineStr">
        <is>
          <t>Tests integrity. Rare but memorable if asked.</t>
        </is>
      </c>
    </row>
    <row r="62" ht="40" customHeight="1">
      <c r="A62" s="9" t="n">
        <v>53</v>
      </c>
      <c r="B62" s="10" t="n">
        <v>6</v>
      </c>
      <c r="C62" s="11" t="inlineStr">
        <is>
          <t>Situational</t>
        </is>
      </c>
      <c r="D62" s="11" t="inlineStr">
        <is>
          <t>How would you onboard yourself to a new team?</t>
        </is>
      </c>
      <c r="E62" s="21" t="inlineStr">
        <is>
          <t>Medium</t>
        </is>
      </c>
      <c r="F62" s="11" t="inlineStr">
        <is>
          <t>PACE — listen first, build relationships, contribute early.</t>
        </is>
      </c>
      <c r="G62" s="11" t="n">
        <v>90</v>
      </c>
      <c r="H62" s="11" t="inlineStr">
        <is>
          <t>Common for experienced hires.</t>
        </is>
      </c>
    </row>
    <row r="63" ht="22" customHeight="1">
      <c r="A63" s="30" t="inlineStr">
        <is>
          <t xml:space="preserve">  CATEGORY 7 — CURVEBALL / PRESSURE  (11 questions)</t>
        </is>
      </c>
    </row>
    <row r="64" ht="40" customHeight="1">
      <c r="A64" s="9" t="n">
        <v>54</v>
      </c>
      <c r="B64" s="10" t="n">
        <v>7</v>
      </c>
      <c r="C64" s="11" t="inlineStr">
        <is>
          <t>Curveball / Pressure</t>
        </is>
      </c>
      <c r="D64" s="11" t="inlineStr">
        <is>
          <t>What is your biggest failure?</t>
        </is>
      </c>
      <c r="E64" s="17" t="inlineStr">
        <is>
          <t>Very High</t>
        </is>
      </c>
      <c r="F64" s="11" t="inlineStr">
        <is>
          <t>Pause → honest failure → learning → what you'd do differently.</t>
        </is>
      </c>
      <c r="G64" s="11" t="n">
        <v>90</v>
      </c>
      <c r="H64" s="11" t="inlineStr">
        <is>
          <t>Do not deflect. Real failure + real growth = strong answer.</t>
        </is>
      </c>
    </row>
    <row r="65" ht="40" customHeight="1">
      <c r="A65" s="5" t="n">
        <v>55</v>
      </c>
      <c r="B65" s="6" t="n">
        <v>7</v>
      </c>
      <c r="C65" s="7" t="inlineStr">
        <is>
          <t>Curveball / Pressure</t>
        </is>
      </c>
      <c r="D65" s="7" t="inlineStr">
        <is>
          <t>Tell me something not on your resume</t>
        </is>
      </c>
      <c r="E65" s="20" t="inlineStr">
        <is>
          <t>High</t>
        </is>
      </c>
      <c r="F65" s="7" t="inlineStr">
        <is>
          <t>Relevant personal trait, project, or perspective. Keep professional.</t>
        </is>
      </c>
      <c r="G65" s="7" t="n">
        <v>60</v>
      </c>
      <c r="H65" s="7" t="inlineStr">
        <is>
          <t>Personality and depth test.</t>
        </is>
      </c>
    </row>
    <row r="66" ht="40" customHeight="1">
      <c r="A66" s="9" t="n">
        <v>56</v>
      </c>
      <c r="B66" s="10" t="n">
        <v>7</v>
      </c>
      <c r="C66" s="11" t="inlineStr">
        <is>
          <t>Curveball / Pressure</t>
        </is>
      </c>
      <c r="D66" s="11" t="inlineStr">
        <is>
          <t>What would your previous manager say about you — honestly?</t>
        </is>
      </c>
      <c r="E66" s="20" t="inlineStr">
        <is>
          <t>High</t>
        </is>
      </c>
      <c r="F66" s="11" t="inlineStr">
        <is>
          <t>Honest positives + one real area of feedback → show you received it well.</t>
        </is>
      </c>
      <c r="G66" s="11" t="n">
        <v>60</v>
      </c>
      <c r="H66" s="11" t="inlineStr">
        <is>
          <t>Tests self-awareness and receptiveness to feedback.</t>
        </is>
      </c>
    </row>
    <row r="67" ht="40" customHeight="1">
      <c r="A67" s="5" t="n">
        <v>57</v>
      </c>
      <c r="B67" s="6" t="n">
        <v>7</v>
      </c>
      <c r="C67" s="7" t="inlineStr">
        <is>
          <t>Curveball / Pressure</t>
        </is>
      </c>
      <c r="D67" s="7" t="inlineStr">
        <is>
          <t>If I called your last manager right now, what would they say?</t>
        </is>
      </c>
      <c r="E67" s="20" t="inlineStr">
        <is>
          <t>High</t>
        </is>
      </c>
      <c r="F67" s="7" t="inlineStr">
        <is>
          <t>Same as above — honest, specific, confident.</t>
        </is>
      </c>
      <c r="G67" s="7" t="n">
        <v>60</v>
      </c>
      <c r="H67" s="7" t="inlineStr">
        <is>
          <t>Pressure version of Q56. Tests consistency.</t>
        </is>
      </c>
    </row>
    <row r="68" ht="40" customHeight="1">
      <c r="A68" s="9" t="n">
        <v>60</v>
      </c>
      <c r="B68" s="10" t="n">
        <v>7</v>
      </c>
      <c r="C68" s="11" t="inlineStr">
        <is>
          <t>Curveball / Pressure</t>
        </is>
      </c>
      <c r="D68" s="11" t="inlineStr">
        <is>
          <t>How do you handle stress and pressure?</t>
        </is>
      </c>
      <c r="E68" s="20" t="inlineStr">
        <is>
          <t>High</t>
        </is>
      </c>
      <c r="F68" s="11" t="inlineStr">
        <is>
          <t>Specific coping strategy → example of using it → outcome.</t>
        </is>
      </c>
      <c r="G68" s="11" t="n">
        <v>60</v>
      </c>
      <c r="H68" s="11" t="inlineStr">
        <is>
          <t>Tests resilience and self-management.</t>
        </is>
      </c>
    </row>
    <row r="69" ht="40" customHeight="1">
      <c r="A69" s="5" t="n">
        <v>58</v>
      </c>
      <c r="B69" s="6" t="n">
        <v>7</v>
      </c>
      <c r="C69" s="7" t="inlineStr">
        <is>
          <t>Curveball / Pressure</t>
        </is>
      </c>
      <c r="D69" s="7" t="inlineStr">
        <is>
          <t>What's a controversial opinion you hold?</t>
        </is>
      </c>
      <c r="E69" s="21" t="inlineStr">
        <is>
          <t>Medium</t>
        </is>
      </c>
      <c r="F69" s="7" t="inlineStr">
        <is>
          <t>Pause → choose carefully → state with confidence + nuance.</t>
        </is>
      </c>
      <c r="G69" s="7" t="n">
        <v>60</v>
      </c>
      <c r="H69" s="7" t="inlineStr">
        <is>
          <t>Tests intellectual confidence. Avoid politics and religion.</t>
        </is>
      </c>
    </row>
    <row r="70" ht="40" customHeight="1">
      <c r="A70" s="9" t="n">
        <v>59</v>
      </c>
      <c r="B70" s="10" t="n">
        <v>7</v>
      </c>
      <c r="C70" s="11" t="inlineStr">
        <is>
          <t>Curveball / Pressure</t>
        </is>
      </c>
      <c r="D70" s="11" t="inlineStr">
        <is>
          <t>What do you do in your spare time?</t>
        </is>
      </c>
      <c r="E70" s="21" t="inlineStr">
        <is>
          <t>Medium</t>
        </is>
      </c>
      <c r="F70" s="11" t="inlineStr">
        <is>
          <t>2–3 genuine interests. Connect at least one to professional growth.</t>
        </is>
      </c>
      <c r="G70" s="11" t="n">
        <v>45</v>
      </c>
      <c r="H70" s="11" t="inlineStr">
        <is>
          <t>Personality and culture fit signal.</t>
        </is>
      </c>
    </row>
    <row r="71" ht="40" customHeight="1">
      <c r="A71" s="5" t="n">
        <v>63</v>
      </c>
      <c r="B71" s="6" t="n">
        <v>7</v>
      </c>
      <c r="C71" s="7" t="inlineStr">
        <is>
          <t>Curveball / Pressure</t>
        </is>
      </c>
      <c r="D71" s="7" t="inlineStr">
        <is>
          <t>What book are you reading right now?</t>
        </is>
      </c>
      <c r="E71" s="21" t="inlineStr">
        <is>
          <t>Medium</t>
        </is>
      </c>
      <c r="F71" s="7" t="inlineStr">
        <is>
          <t>Have a real answer. Tie the book to professional growth if possible.</t>
        </is>
      </c>
      <c r="G71" s="7" t="n">
        <v>30</v>
      </c>
      <c r="H71" s="7" t="inlineStr">
        <is>
          <t>Tests intellectual curiosity and honesty.</t>
        </is>
      </c>
    </row>
    <row r="72" ht="40" customHeight="1">
      <c r="A72" s="9" t="n">
        <v>64</v>
      </c>
      <c r="B72" s="10" t="n">
        <v>7</v>
      </c>
      <c r="C72" s="11" t="inlineStr">
        <is>
          <t>Curveball / Pressure</t>
        </is>
      </c>
      <c r="D72" s="11" t="inlineStr">
        <is>
          <t>How would you rate yourself out of 10?</t>
        </is>
      </c>
      <c r="E72" s="21" t="inlineStr">
        <is>
          <t>Medium</t>
        </is>
      </c>
      <c r="F72" s="11" t="inlineStr">
        <is>
          <t>Give 7–8. Explain why not 10 (room to grow) and why not below 7.</t>
        </is>
      </c>
      <c r="G72" s="11" t="n">
        <v>45</v>
      </c>
      <c r="H72" s="11" t="inlineStr">
        <is>
          <t>Confidence + humility balance test.</t>
        </is>
      </c>
    </row>
    <row r="73" ht="40" customHeight="1">
      <c r="A73" s="5" t="n">
        <v>61</v>
      </c>
      <c r="B73" s="6" t="n">
        <v>7</v>
      </c>
      <c r="C73" s="7" t="inlineStr">
        <is>
          <t>Curveball / Pressure</t>
        </is>
      </c>
      <c r="D73" s="7" t="inlineStr">
        <is>
          <t>Tell me a joke</t>
        </is>
      </c>
      <c r="E73" s="22" t="inlineStr">
        <is>
          <t>Low</t>
        </is>
      </c>
      <c r="F73" s="7" t="inlineStr">
        <is>
          <t>Pause → light, clean, self-deprecating. Never offensive.</t>
        </is>
      </c>
      <c r="G73" s="7" t="n">
        <v>30</v>
      </c>
      <c r="H73" s="7" t="inlineStr">
        <is>
          <t>Rare. Tests composure and social intelligence.</t>
        </is>
      </c>
    </row>
    <row r="74" ht="40" customHeight="1">
      <c r="A74" s="9" t="n">
        <v>62</v>
      </c>
      <c r="B74" s="10" t="n">
        <v>7</v>
      </c>
      <c r="C74" s="11" t="inlineStr">
        <is>
          <t>Curveball / Pressure</t>
        </is>
      </c>
      <c r="D74" s="11" t="inlineStr">
        <is>
          <t>If you were an animal, what would you be and why?</t>
        </is>
      </c>
      <c r="E74" s="22" t="inlineStr">
        <is>
          <t>Low</t>
        </is>
      </c>
      <c r="F74" s="11" t="inlineStr">
        <is>
          <t>Pause → choose one with professional relevance → brief explanation.</t>
        </is>
      </c>
      <c r="G74" s="11" t="n">
        <v>30</v>
      </c>
      <c r="H74" s="11" t="inlineStr">
        <is>
          <t>Personality test. Take it lightly but don't be silly.</t>
        </is>
      </c>
    </row>
    <row r="75" ht="22" customHeight="1">
      <c r="A75" s="31" t="inlineStr">
        <is>
          <t xml:space="preserve">  CATEGORY 8 — CLOSING QUESTIONS  (11 questions)</t>
        </is>
      </c>
    </row>
    <row r="76" ht="40" customHeight="1">
      <c r="A76" s="9" t="n">
        <v>65</v>
      </c>
      <c r="B76" s="10" t="n">
        <v>8</v>
      </c>
      <c r="C76" s="11" t="inlineStr">
        <is>
          <t>Closing Questions</t>
        </is>
      </c>
      <c r="D76" s="11" t="inlineStr">
        <is>
          <t>Do you have any questions for us?</t>
        </is>
      </c>
      <c r="E76" s="8" t="inlineStr">
        <is>
          <t>Universal</t>
        </is>
      </c>
      <c r="F76" s="11" t="inlineStr">
        <is>
          <t>Always have 3: Role question, Team question, Growth question.</t>
        </is>
      </c>
      <c r="G76" s="11" t="n">
        <v>60</v>
      </c>
      <c r="H76" s="11" t="inlineStr">
        <is>
          <t>38% of candidates say 'No' — instant red flag.</t>
        </is>
      </c>
    </row>
    <row r="77" ht="40" customHeight="1">
      <c r="A77" s="5" t="n">
        <v>66</v>
      </c>
      <c r="B77" s="6" t="n">
        <v>8</v>
      </c>
      <c r="C77" s="7" t="inlineStr">
        <is>
          <t>Closing Questions</t>
        </is>
      </c>
      <c r="D77" s="7" t="inlineStr">
        <is>
          <t>What does success look like in this role in 90 days?</t>
        </is>
      </c>
      <c r="E77" s="8" t="inlineStr">
        <is>
          <t>Universal</t>
        </is>
      </c>
      <c r="F77" s="7" t="inlineStr">
        <is>
          <t>Ask this to show you're already thinking about delivering value.</t>
        </is>
      </c>
      <c r="G77" s="7" t="n">
        <v>60</v>
      </c>
      <c r="H77" s="7" t="inlineStr">
        <is>
          <t>Best closing question. Shows orientation and ambition.</t>
        </is>
      </c>
    </row>
    <row r="78" ht="40" customHeight="1">
      <c r="A78" s="9" t="n">
        <v>67</v>
      </c>
      <c r="B78" s="10" t="n">
        <v>8</v>
      </c>
      <c r="C78" s="11" t="inlineStr">
        <is>
          <t>Closing Questions</t>
        </is>
      </c>
      <c r="D78" s="11" t="inlineStr">
        <is>
          <t>What is the biggest challenge the team is facing right now?</t>
        </is>
      </c>
      <c r="E78" s="17" t="inlineStr">
        <is>
          <t>Very High</t>
        </is>
      </c>
      <c r="F78" s="11" t="inlineStr">
        <is>
          <t>Shows you're thinking about their problems, not just your opportunity.</t>
        </is>
      </c>
      <c r="G78" s="11" t="n">
        <v>60</v>
      </c>
      <c r="H78" s="11" t="inlineStr">
        <is>
          <t>Signals strategic thinking and genuine interest.</t>
        </is>
      </c>
    </row>
    <row r="79" ht="40" customHeight="1">
      <c r="A79" s="5" t="n">
        <v>71</v>
      </c>
      <c r="B79" s="6" t="n">
        <v>8</v>
      </c>
      <c r="C79" s="7" t="inlineStr">
        <is>
          <t>Closing Questions</t>
        </is>
      </c>
      <c r="D79" s="7" t="inlineStr">
        <is>
          <t>What are the next steps in the process?</t>
        </is>
      </c>
      <c r="E79" s="17" t="inlineStr">
        <is>
          <t>Very High</t>
        </is>
      </c>
      <c r="F79" s="7" t="inlineStr">
        <is>
          <t>Always ask this. Shows professionalism and follow-through.</t>
        </is>
      </c>
      <c r="G79" s="7" t="n">
        <v>30</v>
      </c>
      <c r="H79" s="7" t="inlineStr">
        <is>
          <t>Mandatory closing question. Sets timeline expectations.</t>
        </is>
      </c>
    </row>
    <row r="80" ht="40" customHeight="1">
      <c r="A80" s="9" t="n">
        <v>68</v>
      </c>
      <c r="B80" s="10" t="n">
        <v>8</v>
      </c>
      <c r="C80" s="11" t="inlineStr">
        <is>
          <t>Closing Questions</t>
        </is>
      </c>
      <c r="D80" s="11" t="inlineStr">
        <is>
          <t>How has this role evolved over the last year?</t>
        </is>
      </c>
      <c r="E80" s="20" t="inlineStr">
        <is>
          <t>High</t>
        </is>
      </c>
      <c r="F80" s="11" t="inlineStr">
        <is>
          <t>Shows you understand roles grow. Positions you as a long-term thinker.</t>
        </is>
      </c>
      <c r="G80" s="11" t="n">
        <v>60</v>
      </c>
      <c r="H80" s="11" t="inlineStr">
        <is>
          <t>Good signal of tenure awareness.</t>
        </is>
      </c>
    </row>
    <row r="81" ht="40" customHeight="1">
      <c r="A81" s="5" t="n">
        <v>69</v>
      </c>
      <c r="B81" s="6" t="n">
        <v>8</v>
      </c>
      <c r="C81" s="7" t="inlineStr">
        <is>
          <t>Closing Questions</t>
        </is>
      </c>
      <c r="D81" s="7" t="inlineStr">
        <is>
          <t>What do people who thrive here have in common?</t>
        </is>
      </c>
      <c r="E81" s="20" t="inlineStr">
        <is>
          <t>High</t>
        </is>
      </c>
      <c r="F81" s="7" t="inlineStr">
        <is>
          <t>Gives you culture fit data AND shows self-awareness.</t>
        </is>
      </c>
      <c r="G81" s="7" t="n">
        <v>60</v>
      </c>
      <c r="H81" s="7" t="inlineStr">
        <is>
          <t>Dual benefit question — research + self-positioning.</t>
        </is>
      </c>
    </row>
    <row r="82" ht="40" customHeight="1">
      <c r="A82" s="9" t="n">
        <v>70</v>
      </c>
      <c r="B82" s="10" t="n">
        <v>8</v>
      </c>
      <c r="C82" s="11" t="inlineStr">
        <is>
          <t>Closing Questions</t>
        </is>
      </c>
      <c r="D82" s="11" t="inlineStr">
        <is>
          <t>Is there anything in my background that concerns you?</t>
        </is>
      </c>
      <c r="E82" s="20" t="inlineStr">
        <is>
          <t>High</t>
        </is>
      </c>
      <c r="F82" s="11" t="inlineStr">
        <is>
          <t>Bold but powerful. Opens door to handle objections in real time.</t>
        </is>
      </c>
      <c r="G82" s="11" t="n">
        <v>60</v>
      </c>
      <c r="H82" s="11" t="inlineStr">
        <is>
          <t>High risk, high reward. Only ask if you feel confident.</t>
        </is>
      </c>
    </row>
    <row r="83" ht="40" customHeight="1">
      <c r="A83" s="5" t="n">
        <v>72</v>
      </c>
      <c r="B83" s="6" t="n">
        <v>8</v>
      </c>
      <c r="C83" s="7" t="inlineStr">
        <is>
          <t>Closing Questions</t>
        </is>
      </c>
      <c r="D83" s="7" t="inlineStr">
        <is>
          <t>What do you enjoy most about working here?</t>
        </is>
      </c>
      <c r="E83" s="20" t="inlineStr">
        <is>
          <t>High</t>
        </is>
      </c>
      <c r="F83" s="7" t="inlineStr">
        <is>
          <t>Humanises the interviewer. Gives you authentic culture insight.</t>
        </is>
      </c>
      <c r="G83" s="7" t="n">
        <v>45</v>
      </c>
      <c r="H83" s="7" t="inlineStr">
        <is>
          <t>Shows you value real perspectives, not just company PR.</t>
        </is>
      </c>
    </row>
    <row r="84" ht="40" customHeight="1">
      <c r="A84" s="9" t="n">
        <v>73</v>
      </c>
      <c r="B84" s="10" t="n">
        <v>8</v>
      </c>
      <c r="C84" s="11" t="inlineStr">
        <is>
          <t>Closing Questions</t>
        </is>
      </c>
      <c r="D84" s="11" t="inlineStr">
        <is>
          <t>How would you describe the team culture?</t>
        </is>
      </c>
      <c r="E84" s="20" t="inlineStr">
        <is>
          <t>High</t>
        </is>
      </c>
      <c r="F84" s="11" t="inlineStr">
        <is>
          <t>Good follow-up to generic culture answers. Press for specifics.</t>
        </is>
      </c>
      <c r="G84" s="11" t="n">
        <v>45</v>
      </c>
      <c r="H84" s="11" t="inlineStr">
        <is>
          <t>Culture fit due diligence.</t>
        </is>
      </c>
    </row>
    <row r="85" ht="40" customHeight="1">
      <c r="A85" s="5" t="n">
        <v>75</v>
      </c>
      <c r="B85" s="6" t="n">
        <v>8</v>
      </c>
      <c r="C85" s="7" t="inlineStr">
        <is>
          <t>Closing Questions</t>
        </is>
      </c>
      <c r="D85" s="7" t="inlineStr">
        <is>
          <t>When can I expect to hear back from you?</t>
        </is>
      </c>
      <c r="E85" s="20" t="inlineStr">
        <is>
          <t>High</t>
        </is>
      </c>
      <c r="F85" s="7" t="inlineStr">
        <is>
          <t>Always ask this before you leave. Sets follow-up timeline.</t>
        </is>
      </c>
      <c r="G85" s="7" t="n">
        <v>30</v>
      </c>
      <c r="H85" s="7" t="inlineStr">
        <is>
          <t>Professional closure question.</t>
        </is>
      </c>
    </row>
    <row r="86" ht="40" customHeight="1">
      <c r="A86" s="9" t="n">
        <v>74</v>
      </c>
      <c r="B86" s="10" t="n">
        <v>8</v>
      </c>
      <c r="C86" s="11" t="inlineStr">
        <is>
          <t>Closing Questions</t>
        </is>
      </c>
      <c r="D86" s="11" t="inlineStr">
        <is>
          <t>What growth opportunities exist in this role?</t>
        </is>
      </c>
      <c r="E86" s="21" t="inlineStr">
        <is>
          <t>Medium</t>
        </is>
      </c>
      <c r="F86" s="11" t="inlineStr">
        <is>
          <t>Shows ambition. Ask with development framing, not promotion framing.</t>
        </is>
      </c>
      <c r="G86" s="11" t="n">
        <v>45</v>
      </c>
      <c r="H86" s="11" t="inlineStr">
        <is>
          <t>Career growth signal.</t>
        </is>
      </c>
    </row>
  </sheetData>
  <mergeCells count="10">
    <mergeCell ref="A4:H4"/>
    <mergeCell ref="A26:H26"/>
    <mergeCell ref="A2:H2"/>
    <mergeCell ref="A63:H63"/>
    <mergeCell ref="A52:H52"/>
    <mergeCell ref="A10:H10"/>
    <mergeCell ref="A44:H44"/>
    <mergeCell ref="A1:H1"/>
    <mergeCell ref="A75:H75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0" customWidth="1" min="3" max="3"/>
    <col width="14" customWidth="1" min="4" max="4"/>
    <col width="14" customWidth="1" min="5" max="5"/>
  </cols>
  <sheetData>
    <row r="1" ht="32" customHeight="1">
      <c r="A1" s="1" t="inlineStr">
        <is>
          <t>INTERVISE — Quick Reference Card</t>
        </is>
      </c>
    </row>
    <row r="2" ht="18" customHeight="1">
      <c r="A2" s="2" t="inlineStr">
        <is>
          <t>The 8 answer formats. Learn these — then no question will catch you off guard.</t>
        </is>
      </c>
    </row>
    <row r="3" ht="20" customHeight="1">
      <c r="A3" s="23" t="inlineStr">
        <is>
          <t>Cat</t>
        </is>
      </c>
      <c r="B3" s="23" t="inlineStr">
        <is>
          <t>Category Name</t>
        </is>
      </c>
      <c r="C3" s="23" t="inlineStr">
        <is>
          <t>Answer Format</t>
        </is>
      </c>
      <c r="D3" s="23" t="inlineStr">
        <is>
          <t>Time Limit</t>
        </is>
      </c>
      <c r="E3" s="23" t="inlineStr">
        <is>
          <t># Questions</t>
        </is>
      </c>
    </row>
    <row r="4" ht="36" customHeight="1">
      <c r="A4" s="32" t="inlineStr">
        <is>
          <t>Cat 1</t>
        </is>
      </c>
      <c r="B4" s="32" t="inlineStr">
        <is>
          <t>Identity &amp; Background</t>
        </is>
      </c>
      <c r="C4" s="33" t="inlineStr">
        <is>
          <t>Present → Past → Future</t>
        </is>
      </c>
      <c r="D4" s="34" t="inlineStr">
        <is>
          <t>60–90 sec</t>
        </is>
      </c>
      <c r="E4" s="34" t="n">
        <v>5</v>
      </c>
    </row>
    <row r="5" ht="36" customHeight="1">
      <c r="A5" s="35" t="inlineStr">
        <is>
          <t>Cat 2</t>
        </is>
      </c>
      <c r="B5" s="35" t="inlineStr">
        <is>
          <t>Behavioural / Experience</t>
        </is>
      </c>
      <c r="C5" s="36" t="inlineStr">
        <is>
          <t>STAR — Situation · Task · Action (50%) · Result</t>
        </is>
      </c>
      <c r="D5" s="37" t="inlineStr">
        <is>
          <t>90–120 sec</t>
        </is>
      </c>
      <c r="E5" s="37" t="n">
        <v>15</v>
      </c>
    </row>
    <row r="6" ht="36" customHeight="1">
      <c r="A6" s="38" t="inlineStr">
        <is>
          <t>Cat 3</t>
        </is>
      </c>
      <c r="B6" s="38" t="inlineStr">
        <is>
          <t>Strengths &amp; Weaknesses</t>
        </is>
      </c>
      <c r="C6" s="33" t="inlineStr">
        <is>
          <t>Strength: Name → Prove → Connect | Weakness: Name → Aware → Action → Progress</t>
        </is>
      </c>
      <c r="D6" s="34" t="inlineStr">
        <is>
          <t>60–90 sec</t>
        </is>
      </c>
      <c r="E6" s="34" t="n">
        <v>7</v>
      </c>
    </row>
    <row r="7" ht="36" customHeight="1">
      <c r="A7" s="39" t="inlineStr">
        <is>
          <t>Cat 4</t>
        </is>
      </c>
      <c r="B7" s="39" t="inlineStr">
        <is>
          <t>Motivation &amp; Fit</t>
        </is>
      </c>
      <c r="C7" s="36" t="inlineStr">
        <is>
          <t>Them (research) → You (matching skill) → Together</t>
        </is>
      </c>
      <c r="D7" s="37" t="inlineStr">
        <is>
          <t>45–75 sec</t>
        </is>
      </c>
      <c r="E7" s="37" t="n">
        <v>9</v>
      </c>
    </row>
    <row r="8" ht="36" customHeight="1">
      <c r="A8" s="40" t="inlineStr">
        <is>
          <t>Cat 5</t>
        </is>
      </c>
      <c r="B8" s="40" t="inlineStr">
        <is>
          <t>Future &amp; Ambition</t>
        </is>
      </c>
      <c r="C8" s="33" t="inlineStr">
        <is>
          <t>Near-term → Long-term → Bridge to this role</t>
        </is>
      </c>
      <c r="D8" s="34" t="inlineStr">
        <is>
          <t>45–60 sec</t>
        </is>
      </c>
      <c r="E8" s="34" t="n">
        <v>7</v>
      </c>
    </row>
    <row r="9" ht="36" customHeight="1">
      <c r="A9" s="41" t="inlineStr">
        <is>
          <t>Cat 6</t>
        </is>
      </c>
      <c r="B9" s="41" t="inlineStr">
        <is>
          <t>Situational / Hypothetical</t>
        </is>
      </c>
      <c r="C9" s="36" t="inlineStr">
        <is>
          <t>PACE — Prioritise · Act · Communicate · Evaluate</t>
        </is>
      </c>
      <c r="D9" s="37" t="inlineStr">
        <is>
          <t>60–90 sec</t>
        </is>
      </c>
      <c r="E9" s="37" t="n">
        <v>10</v>
      </c>
    </row>
    <row r="10" ht="36" customHeight="1">
      <c r="A10" s="42" t="inlineStr">
        <is>
          <t>Cat 7</t>
        </is>
      </c>
      <c r="B10" s="42" t="inlineStr">
        <is>
          <t>Curveball / Pressure</t>
        </is>
      </c>
      <c r="C10" s="33" t="inlineStr">
        <is>
          <t>Pause → Reframe → Redirect</t>
        </is>
      </c>
      <c r="D10" s="34" t="inlineStr">
        <is>
          <t>45–60 sec</t>
        </is>
      </c>
      <c r="E10" s="34" t="n">
        <v>11</v>
      </c>
    </row>
    <row r="11" ht="36" customHeight="1">
      <c r="A11" s="43" t="inlineStr">
        <is>
          <t>Cat 8</t>
        </is>
      </c>
      <c r="B11" s="43" t="inlineStr">
        <is>
          <t>Closing Questions</t>
        </is>
      </c>
      <c r="C11" s="36" t="inlineStr">
        <is>
          <t>Role question · Team question · Growth question (always 3)</t>
        </is>
      </c>
      <c r="D11" s="37" t="inlineStr">
        <is>
          <t>N/A</t>
        </is>
      </c>
      <c r="E11" s="37" t="n">
        <v>11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</cols>
  <sheetData>
    <row r="1" ht="32" customHeight="1">
      <c r="A1" s="1" t="inlineStr">
        <is>
          <t>INTERVISE — Question Bank Statistics</t>
        </is>
      </c>
    </row>
    <row r="2" ht="18" customHeight="1">
      <c r="A2" s="44" t="inlineStr"/>
      <c r="B2" s="45" t="inlineStr"/>
      <c r="C2" s="46" t="inlineStr"/>
    </row>
    <row r="3" ht="18" customHeight="1">
      <c r="A3" s="47" t="inlineStr">
        <is>
          <t>Total Questions</t>
        </is>
      </c>
      <c r="B3" s="45" t="inlineStr">
        <is>
          <t>75</t>
        </is>
      </c>
      <c r="C3" s="46" t="inlineStr">
        <is>
          <t>Full bank across all 8 categories</t>
        </is>
      </c>
    </row>
    <row r="4" ht="18" customHeight="1">
      <c r="A4" s="44" t="inlineStr"/>
      <c r="B4" s="45" t="inlineStr"/>
      <c r="C4" s="46" t="inlineStr"/>
    </row>
    <row r="5" ht="18" customHeight="1">
      <c r="A5" s="47" t="inlineStr">
        <is>
          <t>By Frequency</t>
        </is>
      </c>
      <c r="B5" s="45" t="inlineStr"/>
      <c r="C5" s="46" t="inlineStr"/>
    </row>
    <row r="6" ht="18" customHeight="1">
      <c r="A6" s="44" t="inlineStr">
        <is>
          <t xml:space="preserve">  Universal</t>
        </is>
      </c>
      <c r="B6" s="45">
        <f>COUNTIF('All Questions — Ranked'!E:E,"Universal")</f>
        <v/>
      </c>
      <c r="C6" s="46" t="inlineStr">
        <is>
          <t>Asked in virtually every interview</t>
        </is>
      </c>
    </row>
    <row r="7" ht="18" customHeight="1">
      <c r="A7" s="44" t="inlineStr">
        <is>
          <t xml:space="preserve">  Very High</t>
        </is>
      </c>
      <c r="B7" s="45">
        <f>COUNTIF('All Questions — Ranked'!E:E,"Very High")</f>
        <v/>
      </c>
      <c r="C7" s="46" t="inlineStr">
        <is>
          <t>Asked in 70–90% of interviews</t>
        </is>
      </c>
    </row>
    <row r="8" ht="18" customHeight="1">
      <c r="A8" s="44" t="inlineStr">
        <is>
          <t xml:space="preserve">  High</t>
        </is>
      </c>
      <c r="B8" s="45">
        <f>COUNTIF('All Questions — Ranked'!E:E,"High")</f>
        <v/>
      </c>
      <c r="C8" s="46" t="inlineStr">
        <is>
          <t>Asked in 40–70% of interviews</t>
        </is>
      </c>
    </row>
    <row r="9" ht="18" customHeight="1">
      <c r="A9" s="44" t="inlineStr">
        <is>
          <t xml:space="preserve">  Medium</t>
        </is>
      </c>
      <c r="B9" s="45">
        <f>COUNTIF('All Questions — Ranked'!E:E,"Medium")</f>
        <v/>
      </c>
      <c r="C9" s="46" t="inlineStr">
        <is>
          <t>Asked in 20–40% of interviews</t>
        </is>
      </c>
    </row>
    <row r="10" ht="18" customHeight="1">
      <c r="A10" s="44" t="inlineStr">
        <is>
          <t xml:space="preserve">  Low</t>
        </is>
      </c>
      <c r="B10" s="45">
        <f>COUNTIF('All Questions — Ranked'!E:E,"Low")</f>
        <v/>
      </c>
      <c r="C10" s="46" t="inlineStr">
        <is>
          <t>Asked in under 20% of interviews</t>
        </is>
      </c>
    </row>
    <row r="11" ht="18" customHeight="1">
      <c r="A11" s="44" t="inlineStr"/>
      <c r="B11" s="45" t="inlineStr"/>
      <c r="C11" s="46" t="inlineStr"/>
    </row>
    <row r="12" ht="18" customHeight="1">
      <c r="A12" s="47" t="inlineStr">
        <is>
          <t>By Category</t>
        </is>
      </c>
      <c r="B12" s="45" t="inlineStr"/>
      <c r="C12" s="46" t="inlineStr"/>
    </row>
    <row r="13" ht="18" customHeight="1">
      <c r="A13" s="44" t="inlineStr">
        <is>
          <t xml:space="preserve">  Cat 1 — Identity &amp; Background</t>
        </is>
      </c>
      <c r="B13" s="45">
        <f>COUNTIF('All Questions — Ranked'!B:B,1)</f>
        <v/>
      </c>
      <c r="C13" s="46" t="inlineStr"/>
    </row>
    <row r="14" ht="18" customHeight="1">
      <c r="A14" s="44" t="inlineStr">
        <is>
          <t xml:space="preserve">  Cat 2 — Behavioural / Experience</t>
        </is>
      </c>
      <c r="B14" s="45">
        <f>COUNTIF('All Questions — Ranked'!B:B,2)</f>
        <v/>
      </c>
      <c r="C14" s="46" t="inlineStr"/>
    </row>
    <row r="15" ht="18" customHeight="1">
      <c r="A15" s="44" t="inlineStr">
        <is>
          <t xml:space="preserve">  Cat 3 — Strengths &amp; Weaknesses</t>
        </is>
      </c>
      <c r="B15" s="45">
        <f>COUNTIF('All Questions — Ranked'!B:B,3)</f>
        <v/>
      </c>
      <c r="C15" s="46" t="inlineStr"/>
    </row>
    <row r="16" ht="18" customHeight="1">
      <c r="A16" s="44" t="inlineStr">
        <is>
          <t xml:space="preserve">  Cat 4 — Motivation &amp; Fit</t>
        </is>
      </c>
      <c r="B16" s="45">
        <f>COUNTIF('All Questions — Ranked'!B:B,4)</f>
        <v/>
      </c>
      <c r="C16" s="46" t="inlineStr"/>
    </row>
    <row r="17" ht="18" customHeight="1">
      <c r="A17" s="44" t="inlineStr">
        <is>
          <t xml:space="preserve">  Cat 5 — Future &amp; Ambition</t>
        </is>
      </c>
      <c r="B17" s="45">
        <f>COUNTIF('All Questions — Ranked'!B:B,5)</f>
        <v/>
      </c>
      <c r="C17" s="46" t="inlineStr"/>
    </row>
    <row r="18" ht="18" customHeight="1">
      <c r="A18" s="44" t="inlineStr">
        <is>
          <t xml:space="preserve">  Cat 6 — Situational / Hypothetical</t>
        </is>
      </c>
      <c r="B18" s="45">
        <f>COUNTIF('All Questions — Ranked'!B:B,6)</f>
        <v/>
      </c>
      <c r="C18" s="46" t="inlineStr"/>
    </row>
    <row r="19" ht="18" customHeight="1">
      <c r="A19" s="44" t="inlineStr">
        <is>
          <t xml:space="preserve">  Cat 7 — Curveball / Pressure</t>
        </is>
      </c>
      <c r="B19" s="45">
        <f>COUNTIF('All Questions — Ranked'!B:B,7)</f>
        <v/>
      </c>
      <c r="C19" s="46" t="inlineStr"/>
    </row>
    <row r="20" ht="18" customHeight="1">
      <c r="A20" s="44" t="inlineStr">
        <is>
          <t xml:space="preserve">  Cat 8 — Closing Questions</t>
        </is>
      </c>
      <c r="B20" s="45">
        <f>COUNTIF('All Questions — Ranked'!B:B,8)</f>
        <v/>
      </c>
      <c r="C20" s="4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2026-05-17T04:39:58Z</dcterms:created>
  <dcterms:modified xmlns:dcterms="http://purl.org/dc/terms/" xmlns:xsi="http://www.w3.org/2001/XMLSchema-instance" xsi:type="dcterms:W3CDTF">2026-05-17T04:39:59Z</dcterms:modified>
</cp:coreProperties>
</file>